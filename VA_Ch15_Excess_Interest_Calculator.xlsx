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lculator" sheetId="1" state="visible" r:id="rId3"/>
    <sheet name="Ledger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From loan document. Example value - replace.</t>
        </r>
      </text>
    </comment>
    <comment ref="B5" authorId="0">
      <text>
        <r>
          <rPr>
            <sz val="10"/>
            <rFont val="Arial"/>
            <family val="2"/>
          </rPr>
          <t xml:space="preserve">Annual rate stated in the loan document. Example value - replace.</t>
        </r>
      </text>
    </comment>
    <comment ref="B6" authorId="0">
      <text>
        <r>
          <rPr>
            <sz val="10"/>
            <rFont val="Arial"/>
            <family val="2"/>
          </rPr>
          <t xml:space="preserve">Va. Code 6.2-303 contract rate limit (12%).</t>
        </r>
      </text>
    </comment>
    <comment ref="B7" authorId="0">
      <text>
        <r>
          <rPr>
            <sz val="10"/>
            <rFont val="Arial"/>
            <family val="2"/>
          </rPr>
          <t xml:space="preserve">Va. Code 6.2-1520(A): a day may equal 1/360 or 1/365 of a year. Use what the loan document says.</t>
        </r>
      </text>
    </comment>
    <comment ref="B8" authorId="0">
      <text>
        <r>
          <rPr>
            <sz val="10"/>
            <rFont val="Arial"/>
            <family val="2"/>
          </rPr>
          <t xml:space="preserve">Date funds were disbursed (interest starts here). Example value - replace.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9" authorId="0">
      <text>
        <r>
          <rPr>
            <sz val="10"/>
            <rFont val="Arial"/>
            <family val="2"/>
          </rPr>
          <t xml:space="preserve">Example of entering the statement's interest/principal split instead of a total payment.</t>
        </r>
      </text>
    </comment>
  </commentList>
</comments>
</file>

<file path=xl/sharedStrings.xml><?xml version="1.0" encoding="utf-8"?>
<sst xmlns="http://schemas.openxmlformats.org/spreadsheetml/2006/main" count="50" uniqueCount="49">
  <si>
    <t xml:space="preserve">Virginia Ch. 15 Excess Interest Refund Calculator</t>
  </si>
  <si>
    <t xml:space="preserve">Yellow cells with blue text are inputs. Enter each payment on the Ledger sheet. Everything else calculates.</t>
  </si>
  <si>
    <t xml:space="preserve">INPUTS</t>
  </si>
  <si>
    <t xml:space="preserve">Loan amount</t>
  </si>
  <si>
    <t xml:space="preserve">Contract APR</t>
  </si>
  <si>
    <t xml:space="preserve">Lawful rate</t>
  </si>
  <si>
    <t xml:space="preserve">Day-count basis (365 or 360)</t>
  </si>
  <si>
    <t xml:space="preserve">Loan date</t>
  </si>
  <si>
    <t xml:space="preserve">CHECK</t>
  </si>
  <si>
    <t xml:space="preserve">Over the $35,000 Ch. 15 limit?</t>
  </si>
  <si>
    <t xml:space="preserve">RESULTS</t>
  </si>
  <si>
    <t xml:space="preserve">Payments entered</t>
  </si>
  <si>
    <t xml:space="preserve">Total paid</t>
  </si>
  <si>
    <t xml:space="preserve">Interest paid (charged)</t>
  </si>
  <si>
    <t xml:space="preserve">Interest allowed at 12%</t>
  </si>
  <si>
    <t xml:space="preserve">Excess interest</t>
  </si>
  <si>
    <t xml:space="preserve">Unauthorized fees paid</t>
  </si>
  <si>
    <t xml:space="preserve">Refund - 6.2-1542(A)</t>
  </si>
  <si>
    <t xml:space="preserve">Penalty (2x) - 6.2-1542(B)</t>
  </si>
  <si>
    <t xml:space="preserve">TOTAL OWED TO BORROWER (licensed lender)</t>
  </si>
  <si>
    <t xml:space="preserve">Current principal balance</t>
  </si>
  <si>
    <t xml:space="preserve">If lender is UNLICENSED - 6.2-1541: all payments recoverable</t>
  </si>
  <si>
    <t xml:space="preserve">If lender is UNLICENSED - balance lender cannot collect</t>
  </si>
  <si>
    <t xml:space="preserve">NOTES</t>
  </si>
  <si>
    <t xml:space="preserve">1. Excess is figured payment by payment: interest charged minus interest at 12% on the same prior balance for the same number of days.</t>
  </si>
  <si>
    <t xml:space="preserve">   Periods where interest charged was at or below 12% count as zero excess (no offset).</t>
  </si>
  <si>
    <t xml:space="preserve">2. If your statement shows interest and/or principal split out, enter them in the Ledger - they override the calculated figures.</t>
  </si>
  <si>
    <t xml:space="preserve">3. Penalty does not apply to a bona fide one-time computation error (6.2-1542(B)); the refund still does.</t>
  </si>
  <si>
    <t xml:space="preserve">4. The 12% comparison uses the lender's actual balances. Recomputing the whole loan at 12% from day one would give a somewhat larger refund.</t>
  </si>
  <si>
    <t xml:space="preserve">5. Statutes: Va. Code 6.2-1520, 6.2-1541, 6.2-1542 - https://law.lis.virginia.gov/vacodefull/title6.2/chapter15/</t>
  </si>
  <si>
    <t xml:space="preserve">6. Not legal advice - have an attorney confirm before relying on these totals.</t>
  </si>
  <si>
    <t xml:space="preserve">Payment Ledger</t>
  </si>
  <si>
    <t xml:space="preserve">Enter payments in date order, no blank rows. Fill in Date plus EITHER Total payment OR the statement split (Principal and/or Interest).</t>
  </si>
  <si>
    <t xml:space="preserve">Rows 7-9 are EXAMPLES - overwrite them with your transaction history. Optional columns can be left blank.</t>
  </si>
  <si>
    <t xml:space="preserve">INPUT columns: B, C, D, E, M</t>
  </si>
  <si>
    <t xml:space="preserve">CALCULATED columns: F - L</t>
  </si>
  <si>
    <t xml:space="preserve">#</t>
  </si>
  <si>
    <t xml:space="preserve">Payment date</t>
  </si>
  <si>
    <t xml:space="preserve">Total payment</t>
  </si>
  <si>
    <t xml:space="preserve">Principal paid
(statement, optional)</t>
  </si>
  <si>
    <t xml:space="preserve">Interest paid
(statement, optional)</t>
  </si>
  <si>
    <t xml:space="preserve">Days since
prior payment</t>
  </si>
  <si>
    <t xml:space="preserve">Payment used</t>
  </si>
  <si>
    <t xml:space="preserve">Interest charged</t>
  </si>
  <si>
    <t xml:space="preserve">Interest at 12%</t>
  </si>
  <si>
    <t xml:space="preserve">Principal applied</t>
  </si>
  <si>
    <t xml:space="preserve">Principal balance</t>
  </si>
  <si>
    <t xml:space="preserve">Unauthorized fees
paid (optional)</t>
  </si>
  <si>
    <t xml:space="preserve">Start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</si>
</sst>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;&quot;($&quot;#,##0.00\);\-"/>
    <numFmt numFmtId="166" formatCode="0.00%"/>
    <numFmt numFmtId="167" formatCode="0"/>
    <numFmt numFmtId="168" formatCode="mm/dd/yyyy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2"/>
    </font>
    <font>
      <b val="true"/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3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4" customFormat="false" ht="15" hidden="false" customHeight="false" outlineLevel="0" collapsed="false">
      <c r="A4" s="4" t="s">
        <v>3</v>
      </c>
      <c r="B4" s="5" t="n">
        <v>50000</v>
      </c>
    </row>
    <row r="5" customFormat="false" ht="15" hidden="false" customHeight="false" outlineLevel="0" collapsed="false">
      <c r="A5" s="4" t="s">
        <v>4</v>
      </c>
      <c r="B5" s="6" t="n">
        <v>0.24</v>
      </c>
    </row>
    <row r="6" customFormat="false" ht="15" hidden="false" customHeight="false" outlineLevel="0" collapsed="false">
      <c r="A6" s="4" t="s">
        <v>5</v>
      </c>
      <c r="B6" s="6" t="n">
        <v>0.12</v>
      </c>
    </row>
    <row r="7" customFormat="false" ht="15" hidden="false" customHeight="false" outlineLevel="0" collapsed="false">
      <c r="A7" s="4" t="s">
        <v>6</v>
      </c>
      <c r="B7" s="7" t="n">
        <v>365</v>
      </c>
    </row>
    <row r="8" customFormat="false" ht="15" hidden="false" customHeight="false" outlineLevel="0" collapsed="false">
      <c r="A8" s="4" t="s">
        <v>7</v>
      </c>
      <c r="B8" s="8" t="n">
        <v>45672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0" t="s">
        <v>9</v>
      </c>
      <c r="B11" s="4" t="str">
        <f aca="false">IF(B4&gt;35000,"Yes - 12% limit applies","No - licensee may charge up to 36%")</f>
        <v>Yes - 12% limit applies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4" t="s">
        <v>11</v>
      </c>
      <c r="B14" s="9" t="n">
        <f aca="false">COUNT(Ledger!B7:B406)</f>
        <v>3</v>
      </c>
    </row>
    <row r="15" customFormat="false" ht="15" hidden="false" customHeight="false" outlineLevel="0" collapsed="false">
      <c r="A15" s="4" t="s">
        <v>12</v>
      </c>
      <c r="B15" s="10" t="n">
        <f aca="false">SUM(Ledger!G7:G406)</f>
        <v>4315.08</v>
      </c>
    </row>
    <row r="16" customFormat="false" ht="15" hidden="false" customHeight="false" outlineLevel="0" collapsed="false">
      <c r="A16" s="4" t="s">
        <v>13</v>
      </c>
      <c r="B16" s="10" t="n">
        <f aca="false">SUM(Ledger!H7:H406)</f>
        <v>2931.92848633515</v>
      </c>
    </row>
    <row r="17" customFormat="false" ht="15" hidden="false" customHeight="false" outlineLevel="0" collapsed="false">
      <c r="A17" s="4" t="s">
        <v>14</v>
      </c>
      <c r="B17" s="10" t="n">
        <f aca="false">SUM(Ledger!I7:I406)</f>
        <v>1465.96499157625</v>
      </c>
    </row>
    <row r="18" customFormat="false" ht="15" hidden="false" customHeight="false" outlineLevel="0" collapsed="false">
      <c r="A18" s="4" t="s">
        <v>15</v>
      </c>
      <c r="B18" s="10" t="n">
        <f aca="false">SUM(Ledger!J7:J406)</f>
        <v>1465.9634947589</v>
      </c>
    </row>
    <row r="19" customFormat="false" ht="15" hidden="false" customHeight="false" outlineLevel="0" collapsed="false">
      <c r="A19" s="4" t="s">
        <v>16</v>
      </c>
      <c r="B19" s="10" t="n">
        <f aca="false">SUM(Ledger!M7:M406)</f>
        <v>0</v>
      </c>
    </row>
    <row r="20" customFormat="false" ht="15" hidden="false" customHeight="false" outlineLevel="0" collapsed="false">
      <c r="A20" s="4" t="s">
        <v>17</v>
      </c>
      <c r="B20" s="11" t="n">
        <f aca="false">B18+B19</f>
        <v>1465.9634947589</v>
      </c>
    </row>
    <row r="21" customFormat="false" ht="15" hidden="false" customHeight="false" outlineLevel="0" collapsed="false">
      <c r="A21" s="4" t="s">
        <v>18</v>
      </c>
      <c r="B21" s="11" t="n">
        <f aca="false">2*B20</f>
        <v>2931.9269895178</v>
      </c>
    </row>
    <row r="22" customFormat="false" ht="15" hidden="false" customHeight="false" outlineLevel="0" collapsed="false">
      <c r="A22" s="3" t="s">
        <v>19</v>
      </c>
      <c r="B22" s="12" t="n">
        <f aca="false">B20+B21</f>
        <v>4397.89048427669</v>
      </c>
    </row>
    <row r="24" customFormat="false" ht="15" hidden="false" customHeight="false" outlineLevel="0" collapsed="false">
      <c r="A24" s="4" t="s">
        <v>20</v>
      </c>
      <c r="B24" s="10" t="n">
        <f aca="false">IF(B14=0,B4,INDEX(Ledger!L6:L406,B14+1))</f>
        <v>48616.8484863351</v>
      </c>
    </row>
    <row r="25" customFormat="false" ht="15" hidden="false" customHeight="false" outlineLevel="0" collapsed="false">
      <c r="A25" s="4" t="s">
        <v>21</v>
      </c>
      <c r="B25" s="11" t="n">
        <f aca="false">B15</f>
        <v>4315.08</v>
      </c>
    </row>
    <row r="26" customFormat="false" ht="15" hidden="false" customHeight="false" outlineLevel="0" collapsed="false">
      <c r="A26" s="4" t="s">
        <v>22</v>
      </c>
      <c r="B26" s="11" t="n">
        <f aca="false">B24</f>
        <v>48616.8484863351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13" t="s">
        <v>24</v>
      </c>
    </row>
    <row r="30" customFormat="false" ht="15" hidden="false" customHeight="false" outlineLevel="0" collapsed="false">
      <c r="A30" s="13" t="s">
        <v>25</v>
      </c>
    </row>
    <row r="31" customFormat="false" ht="15" hidden="false" customHeight="false" outlineLevel="0" collapsed="false">
      <c r="A31" s="13" t="s">
        <v>26</v>
      </c>
    </row>
    <row r="32" customFormat="false" ht="15" hidden="false" customHeight="false" outlineLevel="0" collapsed="false">
      <c r="A32" s="13" t="s">
        <v>27</v>
      </c>
    </row>
    <row r="33" customFormat="false" ht="15" hidden="false" customHeight="false" outlineLevel="0" collapsed="false">
      <c r="A33" s="13" t="s">
        <v>28</v>
      </c>
    </row>
    <row r="34" customFormat="false" ht="15" hidden="false" customHeight="false" outlineLevel="0" collapsed="false">
      <c r="A34" s="13" t="s">
        <v>29</v>
      </c>
    </row>
    <row r="35" customFormat="false" ht="15" hidden="false" customHeight="false" outlineLevel="0" collapsed="false">
      <c r="A35" s="13" t="s">
        <v>30</v>
      </c>
    </row>
  </sheetData>
  <dataValidations count="1">
    <dataValidation allowBlank="false" errorStyle="stop" operator="between" showDropDown="false" showErrorMessage="false" showInputMessage="false" sqref="B7" type="list">
      <formula1>"365,360"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5" min="4" style="0" width="17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11" min="8" style="0" width="15"/>
    <col collapsed="false" customWidth="true" hidden="false" outlineLevel="0" max="12" min="12" style="0" width="16"/>
    <col collapsed="false" customWidth="true" hidden="false" outlineLevel="0" max="13" min="13" style="0" width="17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2" t="s">
        <v>33</v>
      </c>
    </row>
    <row r="4" customFormat="false" ht="15" hidden="false" customHeight="false" outlineLevel="0" collapsed="false">
      <c r="A4" s="14" t="s">
        <v>34</v>
      </c>
      <c r="F4" s="3" t="s">
        <v>35</v>
      </c>
    </row>
    <row r="5" customFormat="false" ht="45" hidden="false" customHeight="true" outlineLevel="0" collapsed="false">
      <c r="A5" s="15" t="s">
        <v>36</v>
      </c>
      <c r="B5" s="15" t="s">
        <v>37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42</v>
      </c>
      <c r="H5" s="15" t="s">
        <v>43</v>
      </c>
      <c r="I5" s="15" t="s">
        <v>44</v>
      </c>
      <c r="J5" s="15" t="s">
        <v>15</v>
      </c>
      <c r="K5" s="15" t="s">
        <v>45</v>
      </c>
      <c r="L5" s="15" t="s">
        <v>46</v>
      </c>
      <c r="M5" s="15" t="s">
        <v>47</v>
      </c>
    </row>
    <row r="6" customFormat="false" ht="15" hidden="false" customHeight="false" outlineLevel="0" collapsed="false">
      <c r="A6" s="16" t="s">
        <v>48</v>
      </c>
      <c r="B6" s="17" t="n">
        <f aca="false">Calculator!B8</f>
        <v>45672</v>
      </c>
      <c r="C6" s="18"/>
      <c r="D6" s="18"/>
      <c r="E6" s="18"/>
      <c r="F6" s="18"/>
      <c r="G6" s="18"/>
      <c r="H6" s="18"/>
      <c r="I6" s="18"/>
      <c r="J6" s="18"/>
      <c r="K6" s="18"/>
      <c r="L6" s="19" t="n">
        <f aca="false">Calculator!B4</f>
        <v>50000</v>
      </c>
      <c r="M6" s="18"/>
    </row>
    <row r="7" customFormat="false" ht="15" hidden="false" customHeight="false" outlineLevel="0" collapsed="false">
      <c r="A7" s="20" t="n">
        <v>1</v>
      </c>
      <c r="B7" s="8" t="n">
        <v>45703</v>
      </c>
      <c r="C7" s="5" t="n">
        <v>1438.36</v>
      </c>
      <c r="D7" s="5"/>
      <c r="E7" s="5"/>
      <c r="F7" s="21" t="n">
        <f aca="false">IF($B7="","",$B7-$B6)</f>
        <v>31</v>
      </c>
      <c r="G7" s="11" t="n">
        <f aca="false">IF($B7="","",IF($C7&lt;&gt;"",$C7,N($D7)+N($E7)))</f>
        <v>1438.36</v>
      </c>
      <c r="H7" s="11" t="n">
        <f aca="false">IF($B7="","",IF($E7&lt;&gt;"",$E7,$L6*Calculator!$B$5*$F7/Calculator!$B$7))</f>
        <v>1019.17808219178</v>
      </c>
      <c r="I7" s="11" t="n">
        <f aca="false">IF($B7="","",$L6*Calculator!$B$6*$F7/Calculator!$B$7)</f>
        <v>509.58904109589</v>
      </c>
      <c r="J7" s="11" t="n">
        <f aca="false">IF($B7="","",MAX(0,$H7-$I7))</f>
        <v>509.58904109589</v>
      </c>
      <c r="K7" s="11" t="n">
        <f aca="false">IF($B7="","",IF($D7&lt;&gt;"",$D7,$G7-$H7))</f>
        <v>419.181917808219</v>
      </c>
      <c r="L7" s="11" t="n">
        <f aca="false">IF($B7="","",$L6-$K7)</f>
        <v>49580.8180821918</v>
      </c>
      <c r="M7" s="5"/>
    </row>
    <row r="8" customFormat="false" ht="15" hidden="false" customHeight="false" outlineLevel="0" collapsed="false">
      <c r="A8" s="20" t="n">
        <v>2</v>
      </c>
      <c r="B8" s="8" t="n">
        <v>45731</v>
      </c>
      <c r="C8" s="5" t="n">
        <v>1438.36</v>
      </c>
      <c r="D8" s="5"/>
      <c r="E8" s="5"/>
      <c r="F8" s="21" t="n">
        <f aca="false">IF($B8="","",$B8-$B7)</f>
        <v>28</v>
      </c>
      <c r="G8" s="11" t="n">
        <f aca="false">IF($B8="","",IF($C8&lt;&gt;"",$C8,N($D8)+N($E8)))</f>
        <v>1438.36</v>
      </c>
      <c r="H8" s="11" t="n">
        <f aca="false">IF($B8="","",IF($E8&lt;&gt;"",$E8,$L7*Calculator!$B$5*$F8/Calculator!$B$7))</f>
        <v>912.830404143366</v>
      </c>
      <c r="I8" s="11" t="n">
        <f aca="false">IF($B8="","",$L7*Calculator!$B$6*$F8/Calculator!$B$7)</f>
        <v>456.415202071683</v>
      </c>
      <c r="J8" s="11" t="n">
        <f aca="false">IF($B8="","",MAX(0,$H8-$I8))</f>
        <v>456.415202071683</v>
      </c>
      <c r="K8" s="11" t="n">
        <f aca="false">IF($B8="","",IF($D8&lt;&gt;"",$D8,$G8-$H8))</f>
        <v>525.529595856634</v>
      </c>
      <c r="L8" s="11" t="n">
        <f aca="false">IF($B8="","",$L7-$K8)</f>
        <v>49055.2884863351</v>
      </c>
      <c r="M8" s="5"/>
    </row>
    <row r="9" customFormat="false" ht="15" hidden="false" customHeight="false" outlineLevel="0" collapsed="false">
      <c r="A9" s="20" t="n">
        <v>3</v>
      </c>
      <c r="B9" s="8" t="n">
        <v>45762</v>
      </c>
      <c r="C9" s="5"/>
      <c r="D9" s="5" t="n">
        <v>438.44</v>
      </c>
      <c r="E9" s="5" t="n">
        <v>999.92</v>
      </c>
      <c r="F9" s="21" t="n">
        <f aca="false">IF($B9="","",$B9-$B8)</f>
        <v>31</v>
      </c>
      <c r="G9" s="11" t="n">
        <f aca="false">IF($B9="","",IF($C9&lt;&gt;"",$C9,N($D9)+N($E9)))</f>
        <v>1438.36</v>
      </c>
      <c r="H9" s="11" t="n">
        <f aca="false">IF($B9="","",IF($E9&lt;&gt;"",$E9,$L8*Calculator!$B$5*$F9/Calculator!$B$7))</f>
        <v>999.92</v>
      </c>
      <c r="I9" s="11" t="n">
        <f aca="false">IF($B9="","",$L8*Calculator!$B$6*$F9/Calculator!$B$7)</f>
        <v>499.960748408676</v>
      </c>
      <c r="J9" s="11" t="n">
        <f aca="false">IF($B9="","",MAX(0,$H9-$I9))</f>
        <v>499.959251591324</v>
      </c>
      <c r="K9" s="11" t="n">
        <f aca="false">IF($B9="","",IF($D9&lt;&gt;"",$D9,$G9-$H9))</f>
        <v>438.44</v>
      </c>
      <c r="L9" s="11" t="n">
        <f aca="false">IF($B9="","",$L8-$K9)</f>
        <v>48616.8484863351</v>
      </c>
      <c r="M9" s="5"/>
    </row>
    <row r="10" customFormat="false" ht="15" hidden="false" customHeight="false" outlineLevel="0" collapsed="false">
      <c r="A10" s="20" t="n">
        <v>4</v>
      </c>
      <c r="B10" s="8"/>
      <c r="C10" s="5"/>
      <c r="D10" s="5"/>
      <c r="E10" s="5"/>
      <c r="F10" s="21" t="str">
        <f aca="false">IF($B10="","",$B10-$B9)</f>
        <v/>
      </c>
      <c r="G10" s="11" t="str">
        <f aca="false">IF($B10="","",IF($C10&lt;&gt;"",$C10,N($D10)+N($E10)))</f>
        <v/>
      </c>
      <c r="H10" s="11" t="str">
        <f aca="false">IF($B10="","",IF($E10&lt;&gt;"",$E10,$L9*Calculator!$B$5*$F10/Calculator!$B$7))</f>
        <v/>
      </c>
      <c r="I10" s="11" t="str">
        <f aca="false">IF($B10="","",$L9*Calculator!$B$6*$F10/Calculator!$B$7)</f>
        <v/>
      </c>
      <c r="J10" s="11" t="str">
        <f aca="false">IF($B10="","",MAX(0,$H10-$I10))</f>
        <v/>
      </c>
      <c r="K10" s="11" t="str">
        <f aca="false">IF($B10="","",IF($D10&lt;&gt;"",$D10,$G10-$H10))</f>
        <v/>
      </c>
      <c r="L10" s="11" t="str">
        <f aca="false">IF($B10="","",$L9-$K10)</f>
        <v/>
      </c>
      <c r="M10" s="5"/>
    </row>
    <row r="11" customFormat="false" ht="15" hidden="false" customHeight="false" outlineLevel="0" collapsed="false">
      <c r="A11" s="20" t="n">
        <v>5</v>
      </c>
      <c r="B11" s="8"/>
      <c r="C11" s="5"/>
      <c r="D11" s="5"/>
      <c r="E11" s="5"/>
      <c r="F11" s="21" t="str">
        <f aca="false">IF($B11="","",$B11-$B10)</f>
        <v/>
      </c>
      <c r="G11" s="11" t="str">
        <f aca="false">IF($B11="","",IF($C11&lt;&gt;"",$C11,N($D11)+N($E11)))</f>
        <v/>
      </c>
      <c r="H11" s="11" t="str">
        <f aca="false">IF($B11="","",IF($E11&lt;&gt;"",$E11,$L10*Calculator!$B$5*$F11/Calculator!$B$7))</f>
        <v/>
      </c>
      <c r="I11" s="11" t="str">
        <f aca="false">IF($B11="","",$L10*Calculator!$B$6*$F11/Calculator!$B$7)</f>
        <v/>
      </c>
      <c r="J11" s="11" t="str">
        <f aca="false">IF($B11="","",MAX(0,$H11-$I11))</f>
        <v/>
      </c>
      <c r="K11" s="11" t="str">
        <f aca="false">IF($B11="","",IF($D11&lt;&gt;"",$D11,$G11-$H11))</f>
        <v/>
      </c>
      <c r="L11" s="11" t="str">
        <f aca="false">IF($B11="","",$L10-$K11)</f>
        <v/>
      </c>
      <c r="M11" s="5"/>
    </row>
    <row r="12" customFormat="false" ht="15" hidden="false" customHeight="false" outlineLevel="0" collapsed="false">
      <c r="A12" s="20" t="n">
        <v>6</v>
      </c>
      <c r="B12" s="8"/>
      <c r="C12" s="5"/>
      <c r="D12" s="5"/>
      <c r="E12" s="5"/>
      <c r="F12" s="21" t="str">
        <f aca="false">IF($B12="","",$B12-$B11)</f>
        <v/>
      </c>
      <c r="G12" s="11" t="str">
        <f aca="false">IF($B12="","",IF($C12&lt;&gt;"",$C12,N($D12)+N($E12)))</f>
        <v/>
      </c>
      <c r="H12" s="11" t="str">
        <f aca="false">IF($B12="","",IF($E12&lt;&gt;"",$E12,$L11*Calculator!$B$5*$F12/Calculator!$B$7))</f>
        <v/>
      </c>
      <c r="I12" s="11" t="str">
        <f aca="false">IF($B12="","",$L11*Calculator!$B$6*$F12/Calculator!$B$7)</f>
        <v/>
      </c>
      <c r="J12" s="11" t="str">
        <f aca="false">IF($B12="","",MAX(0,$H12-$I12))</f>
        <v/>
      </c>
      <c r="K12" s="11" t="str">
        <f aca="false">IF($B12="","",IF($D12&lt;&gt;"",$D12,$G12-$H12))</f>
        <v/>
      </c>
      <c r="L12" s="11" t="str">
        <f aca="false">IF($B12="","",$L11-$K12)</f>
        <v/>
      </c>
      <c r="M12" s="5"/>
    </row>
    <row r="13" customFormat="false" ht="15" hidden="false" customHeight="false" outlineLevel="0" collapsed="false">
      <c r="A13" s="20" t="n">
        <v>7</v>
      </c>
      <c r="B13" s="8"/>
      <c r="C13" s="5"/>
      <c r="D13" s="5"/>
      <c r="E13" s="5"/>
      <c r="F13" s="21" t="str">
        <f aca="false">IF($B13="","",$B13-$B12)</f>
        <v/>
      </c>
      <c r="G13" s="11" t="str">
        <f aca="false">IF($B13="","",IF($C13&lt;&gt;"",$C13,N($D13)+N($E13)))</f>
        <v/>
      </c>
      <c r="H13" s="11" t="str">
        <f aca="false">IF($B13="","",IF($E13&lt;&gt;"",$E13,$L12*Calculator!$B$5*$F13/Calculator!$B$7))</f>
        <v/>
      </c>
      <c r="I13" s="11" t="str">
        <f aca="false">IF($B13="","",$L12*Calculator!$B$6*$F13/Calculator!$B$7)</f>
        <v/>
      </c>
      <c r="J13" s="11" t="str">
        <f aca="false">IF($B13="","",MAX(0,$H13-$I13))</f>
        <v/>
      </c>
      <c r="K13" s="11" t="str">
        <f aca="false">IF($B13="","",IF($D13&lt;&gt;"",$D13,$G13-$H13))</f>
        <v/>
      </c>
      <c r="L13" s="11" t="str">
        <f aca="false">IF($B13="","",$L12-$K13)</f>
        <v/>
      </c>
      <c r="M13" s="5"/>
    </row>
    <row r="14" customFormat="false" ht="15" hidden="false" customHeight="false" outlineLevel="0" collapsed="false">
      <c r="A14" s="20" t="n">
        <v>8</v>
      </c>
      <c r="B14" s="8"/>
      <c r="C14" s="5"/>
      <c r="D14" s="5"/>
      <c r="E14" s="5"/>
      <c r="F14" s="21" t="str">
        <f aca="false">IF($B14="","",$B14-$B13)</f>
        <v/>
      </c>
      <c r="G14" s="11" t="str">
        <f aca="false">IF($B14="","",IF($C14&lt;&gt;"",$C14,N($D14)+N($E14)))</f>
        <v/>
      </c>
      <c r="H14" s="11" t="str">
        <f aca="false">IF($B14="","",IF($E14&lt;&gt;"",$E14,$L13*Calculator!$B$5*$F14/Calculator!$B$7))</f>
        <v/>
      </c>
      <c r="I14" s="11" t="str">
        <f aca="false">IF($B14="","",$L13*Calculator!$B$6*$F14/Calculator!$B$7)</f>
        <v/>
      </c>
      <c r="J14" s="11" t="str">
        <f aca="false">IF($B14="","",MAX(0,$H14-$I14))</f>
        <v/>
      </c>
      <c r="K14" s="11" t="str">
        <f aca="false">IF($B14="","",IF($D14&lt;&gt;"",$D14,$G14-$H14))</f>
        <v/>
      </c>
      <c r="L14" s="11" t="str">
        <f aca="false">IF($B14="","",$L13-$K14)</f>
        <v/>
      </c>
      <c r="M14" s="5"/>
    </row>
    <row r="15" customFormat="false" ht="15" hidden="false" customHeight="false" outlineLevel="0" collapsed="false">
      <c r="A15" s="20" t="n">
        <v>9</v>
      </c>
      <c r="B15" s="8"/>
      <c r="C15" s="5"/>
      <c r="D15" s="5"/>
      <c r="E15" s="5"/>
      <c r="F15" s="21" t="str">
        <f aca="false">IF($B15="","",$B15-$B14)</f>
        <v/>
      </c>
      <c r="G15" s="11" t="str">
        <f aca="false">IF($B15="","",IF($C15&lt;&gt;"",$C15,N($D15)+N($E15)))</f>
        <v/>
      </c>
      <c r="H15" s="11" t="str">
        <f aca="false">IF($B15="","",IF($E15&lt;&gt;"",$E15,$L14*Calculator!$B$5*$F15/Calculator!$B$7))</f>
        <v/>
      </c>
      <c r="I15" s="11" t="str">
        <f aca="false">IF($B15="","",$L14*Calculator!$B$6*$F15/Calculator!$B$7)</f>
        <v/>
      </c>
      <c r="J15" s="11" t="str">
        <f aca="false">IF($B15="","",MAX(0,$H15-$I15))</f>
        <v/>
      </c>
      <c r="K15" s="11" t="str">
        <f aca="false">IF($B15="","",IF($D15&lt;&gt;"",$D15,$G15-$H15))</f>
        <v/>
      </c>
      <c r="L15" s="11" t="str">
        <f aca="false">IF($B15="","",$L14-$K15)</f>
        <v/>
      </c>
      <c r="M15" s="5"/>
    </row>
    <row r="16" customFormat="false" ht="15" hidden="false" customHeight="false" outlineLevel="0" collapsed="false">
      <c r="A16" s="20" t="n">
        <v>10</v>
      </c>
      <c r="B16" s="8"/>
      <c r="C16" s="5"/>
      <c r="D16" s="5"/>
      <c r="E16" s="5"/>
      <c r="F16" s="21" t="str">
        <f aca="false">IF($B16="","",$B16-$B15)</f>
        <v/>
      </c>
      <c r="G16" s="11" t="str">
        <f aca="false">IF($B16="","",IF($C16&lt;&gt;"",$C16,N($D16)+N($E16)))</f>
        <v/>
      </c>
      <c r="H16" s="11" t="str">
        <f aca="false">IF($B16="","",IF($E16&lt;&gt;"",$E16,$L15*Calculator!$B$5*$F16/Calculator!$B$7))</f>
        <v/>
      </c>
      <c r="I16" s="11" t="str">
        <f aca="false">IF($B16="","",$L15*Calculator!$B$6*$F16/Calculator!$B$7)</f>
        <v/>
      </c>
      <c r="J16" s="11" t="str">
        <f aca="false">IF($B16="","",MAX(0,$H16-$I16))</f>
        <v/>
      </c>
      <c r="K16" s="11" t="str">
        <f aca="false">IF($B16="","",IF($D16&lt;&gt;"",$D16,$G16-$H16))</f>
        <v/>
      </c>
      <c r="L16" s="11" t="str">
        <f aca="false">IF($B16="","",$L15-$K16)</f>
        <v/>
      </c>
      <c r="M16" s="5"/>
    </row>
    <row r="17" customFormat="false" ht="15" hidden="false" customHeight="false" outlineLevel="0" collapsed="false">
      <c r="A17" s="20" t="n">
        <v>11</v>
      </c>
      <c r="B17" s="8"/>
      <c r="C17" s="5"/>
      <c r="D17" s="5"/>
      <c r="E17" s="5"/>
      <c r="F17" s="21" t="str">
        <f aca="false">IF($B17="","",$B17-$B16)</f>
        <v/>
      </c>
      <c r="G17" s="11" t="str">
        <f aca="false">IF($B17="","",IF($C17&lt;&gt;"",$C17,N($D17)+N($E17)))</f>
        <v/>
      </c>
      <c r="H17" s="11" t="str">
        <f aca="false">IF($B17="","",IF($E17&lt;&gt;"",$E17,$L16*Calculator!$B$5*$F17/Calculator!$B$7))</f>
        <v/>
      </c>
      <c r="I17" s="11" t="str">
        <f aca="false">IF($B17="","",$L16*Calculator!$B$6*$F17/Calculator!$B$7)</f>
        <v/>
      </c>
      <c r="J17" s="11" t="str">
        <f aca="false">IF($B17="","",MAX(0,$H17-$I17))</f>
        <v/>
      </c>
      <c r="K17" s="11" t="str">
        <f aca="false">IF($B17="","",IF($D17&lt;&gt;"",$D17,$G17-$H17))</f>
        <v/>
      </c>
      <c r="L17" s="11" t="str">
        <f aca="false">IF($B17="","",$L16-$K17)</f>
        <v/>
      </c>
      <c r="M17" s="5"/>
    </row>
    <row r="18" customFormat="false" ht="15" hidden="false" customHeight="false" outlineLevel="0" collapsed="false">
      <c r="A18" s="20" t="n">
        <v>12</v>
      </c>
      <c r="B18" s="8"/>
      <c r="C18" s="5"/>
      <c r="D18" s="5"/>
      <c r="E18" s="5"/>
      <c r="F18" s="21" t="str">
        <f aca="false">IF($B18="","",$B18-$B17)</f>
        <v/>
      </c>
      <c r="G18" s="11" t="str">
        <f aca="false">IF($B18="","",IF($C18&lt;&gt;"",$C18,N($D18)+N($E18)))</f>
        <v/>
      </c>
      <c r="H18" s="11" t="str">
        <f aca="false">IF($B18="","",IF($E18&lt;&gt;"",$E18,$L17*Calculator!$B$5*$F18/Calculator!$B$7))</f>
        <v/>
      </c>
      <c r="I18" s="11" t="str">
        <f aca="false">IF($B18="","",$L17*Calculator!$B$6*$F18/Calculator!$B$7)</f>
        <v/>
      </c>
      <c r="J18" s="11" t="str">
        <f aca="false">IF($B18="","",MAX(0,$H18-$I18))</f>
        <v/>
      </c>
      <c r="K18" s="11" t="str">
        <f aca="false">IF($B18="","",IF($D18&lt;&gt;"",$D18,$G18-$H18))</f>
        <v/>
      </c>
      <c r="L18" s="11" t="str">
        <f aca="false">IF($B18="","",$L17-$K18)</f>
        <v/>
      </c>
      <c r="M18" s="5"/>
    </row>
    <row r="19" customFormat="false" ht="15" hidden="false" customHeight="false" outlineLevel="0" collapsed="false">
      <c r="A19" s="20" t="n">
        <v>13</v>
      </c>
      <c r="B19" s="8"/>
      <c r="C19" s="5"/>
      <c r="D19" s="5"/>
      <c r="E19" s="5"/>
      <c r="F19" s="21" t="str">
        <f aca="false">IF($B19="","",$B19-$B18)</f>
        <v/>
      </c>
      <c r="G19" s="11" t="str">
        <f aca="false">IF($B19="","",IF($C19&lt;&gt;"",$C19,N($D19)+N($E19)))</f>
        <v/>
      </c>
      <c r="H19" s="11" t="str">
        <f aca="false">IF($B19="","",IF($E19&lt;&gt;"",$E19,$L18*Calculator!$B$5*$F19/Calculator!$B$7))</f>
        <v/>
      </c>
      <c r="I19" s="11" t="str">
        <f aca="false">IF($B19="","",$L18*Calculator!$B$6*$F19/Calculator!$B$7)</f>
        <v/>
      </c>
      <c r="J19" s="11" t="str">
        <f aca="false">IF($B19="","",MAX(0,$H19-$I19))</f>
        <v/>
      </c>
      <c r="K19" s="11" t="str">
        <f aca="false">IF($B19="","",IF($D19&lt;&gt;"",$D19,$G19-$H19))</f>
        <v/>
      </c>
      <c r="L19" s="11" t="str">
        <f aca="false">IF($B19="","",$L18-$K19)</f>
        <v/>
      </c>
      <c r="M19" s="5"/>
    </row>
    <row r="20" customFormat="false" ht="15" hidden="false" customHeight="false" outlineLevel="0" collapsed="false">
      <c r="A20" s="20" t="n">
        <v>14</v>
      </c>
      <c r="B20" s="8"/>
      <c r="C20" s="5"/>
      <c r="D20" s="5"/>
      <c r="E20" s="5"/>
      <c r="F20" s="21" t="str">
        <f aca="false">IF($B20="","",$B20-$B19)</f>
        <v/>
      </c>
      <c r="G20" s="11" t="str">
        <f aca="false">IF($B20="","",IF($C20&lt;&gt;"",$C20,N($D20)+N($E20)))</f>
        <v/>
      </c>
      <c r="H20" s="11" t="str">
        <f aca="false">IF($B20="","",IF($E20&lt;&gt;"",$E20,$L19*Calculator!$B$5*$F20/Calculator!$B$7))</f>
        <v/>
      </c>
      <c r="I20" s="11" t="str">
        <f aca="false">IF($B20="","",$L19*Calculator!$B$6*$F20/Calculator!$B$7)</f>
        <v/>
      </c>
      <c r="J20" s="11" t="str">
        <f aca="false">IF($B20="","",MAX(0,$H20-$I20))</f>
        <v/>
      </c>
      <c r="K20" s="11" t="str">
        <f aca="false">IF($B20="","",IF($D20&lt;&gt;"",$D20,$G20-$H20))</f>
        <v/>
      </c>
      <c r="L20" s="11" t="str">
        <f aca="false">IF($B20="","",$L19-$K20)</f>
        <v/>
      </c>
      <c r="M20" s="5"/>
    </row>
    <row r="21" customFormat="false" ht="15" hidden="false" customHeight="false" outlineLevel="0" collapsed="false">
      <c r="A21" s="20" t="n">
        <v>15</v>
      </c>
      <c r="B21" s="8"/>
      <c r="C21" s="5"/>
      <c r="D21" s="5"/>
      <c r="E21" s="5"/>
      <c r="F21" s="21" t="str">
        <f aca="false">IF($B21="","",$B21-$B20)</f>
        <v/>
      </c>
      <c r="G21" s="11" t="str">
        <f aca="false">IF($B21="","",IF($C21&lt;&gt;"",$C21,N($D21)+N($E21)))</f>
        <v/>
      </c>
      <c r="H21" s="11" t="str">
        <f aca="false">IF($B21="","",IF($E21&lt;&gt;"",$E21,$L20*Calculator!$B$5*$F21/Calculator!$B$7))</f>
        <v/>
      </c>
      <c r="I21" s="11" t="str">
        <f aca="false">IF($B21="","",$L20*Calculator!$B$6*$F21/Calculator!$B$7)</f>
        <v/>
      </c>
      <c r="J21" s="11" t="str">
        <f aca="false">IF($B21="","",MAX(0,$H21-$I21))</f>
        <v/>
      </c>
      <c r="K21" s="11" t="str">
        <f aca="false">IF($B21="","",IF($D21&lt;&gt;"",$D21,$G21-$H21))</f>
        <v/>
      </c>
      <c r="L21" s="11" t="str">
        <f aca="false">IF($B21="","",$L20-$K21)</f>
        <v/>
      </c>
      <c r="M21" s="5"/>
    </row>
    <row r="22" customFormat="false" ht="15" hidden="false" customHeight="false" outlineLevel="0" collapsed="false">
      <c r="A22" s="20" t="n">
        <v>16</v>
      </c>
      <c r="B22" s="8"/>
      <c r="C22" s="5"/>
      <c r="D22" s="5"/>
      <c r="E22" s="5"/>
      <c r="F22" s="21" t="str">
        <f aca="false">IF($B22="","",$B22-$B21)</f>
        <v/>
      </c>
      <c r="G22" s="11" t="str">
        <f aca="false">IF($B22="","",IF($C22&lt;&gt;"",$C22,N($D22)+N($E22)))</f>
        <v/>
      </c>
      <c r="H22" s="11" t="str">
        <f aca="false">IF($B22="","",IF($E22&lt;&gt;"",$E22,$L21*Calculator!$B$5*$F22/Calculator!$B$7))</f>
        <v/>
      </c>
      <c r="I22" s="11" t="str">
        <f aca="false">IF($B22="","",$L21*Calculator!$B$6*$F22/Calculator!$B$7)</f>
        <v/>
      </c>
      <c r="J22" s="11" t="str">
        <f aca="false">IF($B22="","",MAX(0,$H22-$I22))</f>
        <v/>
      </c>
      <c r="K22" s="11" t="str">
        <f aca="false">IF($B22="","",IF($D22&lt;&gt;"",$D22,$G22-$H22))</f>
        <v/>
      </c>
      <c r="L22" s="11" t="str">
        <f aca="false">IF($B22="","",$L21-$K22)</f>
        <v/>
      </c>
      <c r="M22" s="5"/>
    </row>
    <row r="23" customFormat="false" ht="15" hidden="false" customHeight="false" outlineLevel="0" collapsed="false">
      <c r="A23" s="20" t="n">
        <v>17</v>
      </c>
      <c r="B23" s="8"/>
      <c r="C23" s="5"/>
      <c r="D23" s="5"/>
      <c r="E23" s="5"/>
      <c r="F23" s="21" t="str">
        <f aca="false">IF($B23="","",$B23-$B22)</f>
        <v/>
      </c>
      <c r="G23" s="11" t="str">
        <f aca="false">IF($B23="","",IF($C23&lt;&gt;"",$C23,N($D23)+N($E23)))</f>
        <v/>
      </c>
      <c r="H23" s="11" t="str">
        <f aca="false">IF($B23="","",IF($E23&lt;&gt;"",$E23,$L22*Calculator!$B$5*$F23/Calculator!$B$7))</f>
        <v/>
      </c>
      <c r="I23" s="11" t="str">
        <f aca="false">IF($B23="","",$L22*Calculator!$B$6*$F23/Calculator!$B$7)</f>
        <v/>
      </c>
      <c r="J23" s="11" t="str">
        <f aca="false">IF($B23="","",MAX(0,$H23-$I23))</f>
        <v/>
      </c>
      <c r="K23" s="11" t="str">
        <f aca="false">IF($B23="","",IF($D23&lt;&gt;"",$D23,$G23-$H23))</f>
        <v/>
      </c>
      <c r="L23" s="11" t="str">
        <f aca="false">IF($B23="","",$L22-$K23)</f>
        <v/>
      </c>
      <c r="M23" s="5"/>
    </row>
    <row r="24" customFormat="false" ht="15" hidden="false" customHeight="false" outlineLevel="0" collapsed="false">
      <c r="A24" s="20" t="n">
        <v>18</v>
      </c>
      <c r="B24" s="8"/>
      <c r="C24" s="5"/>
      <c r="D24" s="5"/>
      <c r="E24" s="5"/>
      <c r="F24" s="21" t="str">
        <f aca="false">IF($B24="","",$B24-$B23)</f>
        <v/>
      </c>
      <c r="G24" s="11" t="str">
        <f aca="false">IF($B24="","",IF($C24&lt;&gt;"",$C24,N($D24)+N($E24)))</f>
        <v/>
      </c>
      <c r="H24" s="11" t="str">
        <f aca="false">IF($B24="","",IF($E24&lt;&gt;"",$E24,$L23*Calculator!$B$5*$F24/Calculator!$B$7))</f>
        <v/>
      </c>
      <c r="I24" s="11" t="str">
        <f aca="false">IF($B24="","",$L23*Calculator!$B$6*$F24/Calculator!$B$7)</f>
        <v/>
      </c>
      <c r="J24" s="11" t="str">
        <f aca="false">IF($B24="","",MAX(0,$H24-$I24))</f>
        <v/>
      </c>
      <c r="K24" s="11" t="str">
        <f aca="false">IF($B24="","",IF($D24&lt;&gt;"",$D24,$G24-$H24))</f>
        <v/>
      </c>
      <c r="L24" s="11" t="str">
        <f aca="false">IF($B24="","",$L23-$K24)</f>
        <v/>
      </c>
      <c r="M24" s="5"/>
    </row>
    <row r="25" customFormat="false" ht="15" hidden="false" customHeight="false" outlineLevel="0" collapsed="false">
      <c r="A25" s="20" t="n">
        <v>19</v>
      </c>
      <c r="B25" s="8"/>
      <c r="C25" s="5"/>
      <c r="D25" s="5"/>
      <c r="E25" s="5"/>
      <c r="F25" s="21" t="str">
        <f aca="false">IF($B25="","",$B25-$B24)</f>
        <v/>
      </c>
      <c r="G25" s="11" t="str">
        <f aca="false">IF($B25="","",IF($C25&lt;&gt;"",$C25,N($D25)+N($E25)))</f>
        <v/>
      </c>
      <c r="H25" s="11" t="str">
        <f aca="false">IF($B25="","",IF($E25&lt;&gt;"",$E25,$L24*Calculator!$B$5*$F25/Calculator!$B$7))</f>
        <v/>
      </c>
      <c r="I25" s="11" t="str">
        <f aca="false">IF($B25="","",$L24*Calculator!$B$6*$F25/Calculator!$B$7)</f>
        <v/>
      </c>
      <c r="J25" s="11" t="str">
        <f aca="false">IF($B25="","",MAX(0,$H25-$I25))</f>
        <v/>
      </c>
      <c r="K25" s="11" t="str">
        <f aca="false">IF($B25="","",IF($D25&lt;&gt;"",$D25,$G25-$H25))</f>
        <v/>
      </c>
      <c r="L25" s="11" t="str">
        <f aca="false">IF($B25="","",$L24-$K25)</f>
        <v/>
      </c>
      <c r="M25" s="5"/>
    </row>
    <row r="26" customFormat="false" ht="15" hidden="false" customHeight="false" outlineLevel="0" collapsed="false">
      <c r="A26" s="20" t="n">
        <v>20</v>
      </c>
      <c r="B26" s="8"/>
      <c r="C26" s="5"/>
      <c r="D26" s="5"/>
      <c r="E26" s="5"/>
      <c r="F26" s="21" t="str">
        <f aca="false">IF($B26="","",$B26-$B25)</f>
        <v/>
      </c>
      <c r="G26" s="11" t="str">
        <f aca="false">IF($B26="","",IF($C26&lt;&gt;"",$C26,N($D26)+N($E26)))</f>
        <v/>
      </c>
      <c r="H26" s="11" t="str">
        <f aca="false">IF($B26="","",IF($E26&lt;&gt;"",$E26,$L25*Calculator!$B$5*$F26/Calculator!$B$7))</f>
        <v/>
      </c>
      <c r="I26" s="11" t="str">
        <f aca="false">IF($B26="","",$L25*Calculator!$B$6*$F26/Calculator!$B$7)</f>
        <v/>
      </c>
      <c r="J26" s="11" t="str">
        <f aca="false">IF($B26="","",MAX(0,$H26-$I26))</f>
        <v/>
      </c>
      <c r="K26" s="11" t="str">
        <f aca="false">IF($B26="","",IF($D26&lt;&gt;"",$D26,$G26-$H26))</f>
        <v/>
      </c>
      <c r="L26" s="11" t="str">
        <f aca="false">IF($B26="","",$L25-$K26)</f>
        <v/>
      </c>
      <c r="M26" s="5"/>
    </row>
    <row r="27" customFormat="false" ht="15" hidden="false" customHeight="false" outlineLevel="0" collapsed="false">
      <c r="A27" s="20" t="n">
        <v>21</v>
      </c>
      <c r="B27" s="8"/>
      <c r="C27" s="5"/>
      <c r="D27" s="5"/>
      <c r="E27" s="5"/>
      <c r="F27" s="21" t="str">
        <f aca="false">IF($B27="","",$B27-$B26)</f>
        <v/>
      </c>
      <c r="G27" s="11" t="str">
        <f aca="false">IF($B27="","",IF($C27&lt;&gt;"",$C27,N($D27)+N($E27)))</f>
        <v/>
      </c>
      <c r="H27" s="11" t="str">
        <f aca="false">IF($B27="","",IF($E27&lt;&gt;"",$E27,$L26*Calculator!$B$5*$F27/Calculator!$B$7))</f>
        <v/>
      </c>
      <c r="I27" s="11" t="str">
        <f aca="false">IF($B27="","",$L26*Calculator!$B$6*$F27/Calculator!$B$7)</f>
        <v/>
      </c>
      <c r="J27" s="11" t="str">
        <f aca="false">IF($B27="","",MAX(0,$H27-$I27))</f>
        <v/>
      </c>
      <c r="K27" s="11" t="str">
        <f aca="false">IF($B27="","",IF($D27&lt;&gt;"",$D27,$G27-$H27))</f>
        <v/>
      </c>
      <c r="L27" s="11" t="str">
        <f aca="false">IF($B27="","",$L26-$K27)</f>
        <v/>
      </c>
      <c r="M27" s="5"/>
    </row>
    <row r="28" customFormat="false" ht="15" hidden="false" customHeight="false" outlineLevel="0" collapsed="false">
      <c r="A28" s="20" t="n">
        <v>22</v>
      </c>
      <c r="B28" s="8"/>
      <c r="C28" s="5"/>
      <c r="D28" s="5"/>
      <c r="E28" s="5"/>
      <c r="F28" s="21" t="str">
        <f aca="false">IF($B28="","",$B28-$B27)</f>
        <v/>
      </c>
      <c r="G28" s="11" t="str">
        <f aca="false">IF($B28="","",IF($C28&lt;&gt;"",$C28,N($D28)+N($E28)))</f>
        <v/>
      </c>
      <c r="H28" s="11" t="str">
        <f aca="false">IF($B28="","",IF($E28&lt;&gt;"",$E28,$L27*Calculator!$B$5*$F28/Calculator!$B$7))</f>
        <v/>
      </c>
      <c r="I28" s="11" t="str">
        <f aca="false">IF($B28="","",$L27*Calculator!$B$6*$F28/Calculator!$B$7)</f>
        <v/>
      </c>
      <c r="J28" s="11" t="str">
        <f aca="false">IF($B28="","",MAX(0,$H28-$I28))</f>
        <v/>
      </c>
      <c r="K28" s="11" t="str">
        <f aca="false">IF($B28="","",IF($D28&lt;&gt;"",$D28,$G28-$H28))</f>
        <v/>
      </c>
      <c r="L28" s="11" t="str">
        <f aca="false">IF($B28="","",$L27-$K28)</f>
        <v/>
      </c>
      <c r="M28" s="5"/>
    </row>
    <row r="29" customFormat="false" ht="15" hidden="false" customHeight="false" outlineLevel="0" collapsed="false">
      <c r="A29" s="20" t="n">
        <v>23</v>
      </c>
      <c r="B29" s="8"/>
      <c r="C29" s="5"/>
      <c r="D29" s="5"/>
      <c r="E29" s="5"/>
      <c r="F29" s="21" t="str">
        <f aca="false">IF($B29="","",$B29-$B28)</f>
        <v/>
      </c>
      <c r="G29" s="11" t="str">
        <f aca="false">IF($B29="","",IF($C29&lt;&gt;"",$C29,N($D29)+N($E29)))</f>
        <v/>
      </c>
      <c r="H29" s="11" t="str">
        <f aca="false">IF($B29="","",IF($E29&lt;&gt;"",$E29,$L28*Calculator!$B$5*$F29/Calculator!$B$7))</f>
        <v/>
      </c>
      <c r="I29" s="11" t="str">
        <f aca="false">IF($B29="","",$L28*Calculator!$B$6*$F29/Calculator!$B$7)</f>
        <v/>
      </c>
      <c r="J29" s="11" t="str">
        <f aca="false">IF($B29="","",MAX(0,$H29-$I29))</f>
        <v/>
      </c>
      <c r="K29" s="11" t="str">
        <f aca="false">IF($B29="","",IF($D29&lt;&gt;"",$D29,$G29-$H29))</f>
        <v/>
      </c>
      <c r="L29" s="11" t="str">
        <f aca="false">IF($B29="","",$L28-$K29)</f>
        <v/>
      </c>
      <c r="M29" s="5"/>
    </row>
    <row r="30" customFormat="false" ht="15" hidden="false" customHeight="false" outlineLevel="0" collapsed="false">
      <c r="A30" s="20" t="n">
        <v>24</v>
      </c>
      <c r="B30" s="8"/>
      <c r="C30" s="5"/>
      <c r="D30" s="5"/>
      <c r="E30" s="5"/>
      <c r="F30" s="21" t="str">
        <f aca="false">IF($B30="","",$B30-$B29)</f>
        <v/>
      </c>
      <c r="G30" s="11" t="str">
        <f aca="false">IF($B30="","",IF($C30&lt;&gt;"",$C30,N($D30)+N($E30)))</f>
        <v/>
      </c>
      <c r="H30" s="11" t="str">
        <f aca="false">IF($B30="","",IF($E30&lt;&gt;"",$E30,$L29*Calculator!$B$5*$F30/Calculator!$B$7))</f>
        <v/>
      </c>
      <c r="I30" s="11" t="str">
        <f aca="false">IF($B30="","",$L29*Calculator!$B$6*$F30/Calculator!$B$7)</f>
        <v/>
      </c>
      <c r="J30" s="11" t="str">
        <f aca="false">IF($B30="","",MAX(0,$H30-$I30))</f>
        <v/>
      </c>
      <c r="K30" s="11" t="str">
        <f aca="false">IF($B30="","",IF($D30&lt;&gt;"",$D30,$G30-$H30))</f>
        <v/>
      </c>
      <c r="L30" s="11" t="str">
        <f aca="false">IF($B30="","",$L29-$K30)</f>
        <v/>
      </c>
      <c r="M30" s="5"/>
    </row>
    <row r="31" customFormat="false" ht="15" hidden="false" customHeight="false" outlineLevel="0" collapsed="false">
      <c r="A31" s="20" t="n">
        <v>25</v>
      </c>
      <c r="B31" s="8"/>
      <c r="C31" s="5"/>
      <c r="D31" s="5"/>
      <c r="E31" s="5"/>
      <c r="F31" s="21" t="str">
        <f aca="false">IF($B31="","",$B31-$B30)</f>
        <v/>
      </c>
      <c r="G31" s="11" t="str">
        <f aca="false">IF($B31="","",IF($C31&lt;&gt;"",$C31,N($D31)+N($E31)))</f>
        <v/>
      </c>
      <c r="H31" s="11" t="str">
        <f aca="false">IF($B31="","",IF($E31&lt;&gt;"",$E31,$L30*Calculator!$B$5*$F31/Calculator!$B$7))</f>
        <v/>
      </c>
      <c r="I31" s="11" t="str">
        <f aca="false">IF($B31="","",$L30*Calculator!$B$6*$F31/Calculator!$B$7)</f>
        <v/>
      </c>
      <c r="J31" s="11" t="str">
        <f aca="false">IF($B31="","",MAX(0,$H31-$I31))</f>
        <v/>
      </c>
      <c r="K31" s="11" t="str">
        <f aca="false">IF($B31="","",IF($D31&lt;&gt;"",$D31,$G31-$H31))</f>
        <v/>
      </c>
      <c r="L31" s="11" t="str">
        <f aca="false">IF($B31="","",$L30-$K31)</f>
        <v/>
      </c>
      <c r="M31" s="5"/>
    </row>
    <row r="32" customFormat="false" ht="15" hidden="false" customHeight="false" outlineLevel="0" collapsed="false">
      <c r="A32" s="20" t="n">
        <v>26</v>
      </c>
      <c r="B32" s="8"/>
      <c r="C32" s="5"/>
      <c r="D32" s="5"/>
      <c r="E32" s="5"/>
      <c r="F32" s="21" t="str">
        <f aca="false">IF($B32="","",$B32-$B31)</f>
        <v/>
      </c>
      <c r="G32" s="11" t="str">
        <f aca="false">IF($B32="","",IF($C32&lt;&gt;"",$C32,N($D32)+N($E32)))</f>
        <v/>
      </c>
      <c r="H32" s="11" t="str">
        <f aca="false">IF($B32="","",IF($E32&lt;&gt;"",$E32,$L31*Calculator!$B$5*$F32/Calculator!$B$7))</f>
        <v/>
      </c>
      <c r="I32" s="11" t="str">
        <f aca="false">IF($B32="","",$L31*Calculator!$B$6*$F32/Calculator!$B$7)</f>
        <v/>
      </c>
      <c r="J32" s="11" t="str">
        <f aca="false">IF($B32="","",MAX(0,$H32-$I32))</f>
        <v/>
      </c>
      <c r="K32" s="11" t="str">
        <f aca="false">IF($B32="","",IF($D32&lt;&gt;"",$D32,$G32-$H32))</f>
        <v/>
      </c>
      <c r="L32" s="11" t="str">
        <f aca="false">IF($B32="","",$L31-$K32)</f>
        <v/>
      </c>
      <c r="M32" s="5"/>
    </row>
    <row r="33" customFormat="false" ht="15" hidden="false" customHeight="false" outlineLevel="0" collapsed="false">
      <c r="A33" s="20" t="n">
        <v>27</v>
      </c>
      <c r="B33" s="8"/>
      <c r="C33" s="5"/>
      <c r="D33" s="5"/>
      <c r="E33" s="5"/>
      <c r="F33" s="21" t="str">
        <f aca="false">IF($B33="","",$B33-$B32)</f>
        <v/>
      </c>
      <c r="G33" s="11" t="str">
        <f aca="false">IF($B33="","",IF($C33&lt;&gt;"",$C33,N($D33)+N($E33)))</f>
        <v/>
      </c>
      <c r="H33" s="11" t="str">
        <f aca="false">IF($B33="","",IF($E33&lt;&gt;"",$E33,$L32*Calculator!$B$5*$F33/Calculator!$B$7))</f>
        <v/>
      </c>
      <c r="I33" s="11" t="str">
        <f aca="false">IF($B33="","",$L32*Calculator!$B$6*$F33/Calculator!$B$7)</f>
        <v/>
      </c>
      <c r="J33" s="11" t="str">
        <f aca="false">IF($B33="","",MAX(0,$H33-$I33))</f>
        <v/>
      </c>
      <c r="K33" s="11" t="str">
        <f aca="false">IF($B33="","",IF($D33&lt;&gt;"",$D33,$G33-$H33))</f>
        <v/>
      </c>
      <c r="L33" s="11" t="str">
        <f aca="false">IF($B33="","",$L32-$K33)</f>
        <v/>
      </c>
      <c r="M33" s="5"/>
    </row>
    <row r="34" customFormat="false" ht="15" hidden="false" customHeight="false" outlineLevel="0" collapsed="false">
      <c r="A34" s="20" t="n">
        <v>28</v>
      </c>
      <c r="B34" s="8"/>
      <c r="C34" s="5"/>
      <c r="D34" s="5"/>
      <c r="E34" s="5"/>
      <c r="F34" s="21" t="str">
        <f aca="false">IF($B34="","",$B34-$B33)</f>
        <v/>
      </c>
      <c r="G34" s="11" t="str">
        <f aca="false">IF($B34="","",IF($C34&lt;&gt;"",$C34,N($D34)+N($E34)))</f>
        <v/>
      </c>
      <c r="H34" s="11" t="str">
        <f aca="false">IF($B34="","",IF($E34&lt;&gt;"",$E34,$L33*Calculator!$B$5*$F34/Calculator!$B$7))</f>
        <v/>
      </c>
      <c r="I34" s="11" t="str">
        <f aca="false">IF($B34="","",$L33*Calculator!$B$6*$F34/Calculator!$B$7)</f>
        <v/>
      </c>
      <c r="J34" s="11" t="str">
        <f aca="false">IF($B34="","",MAX(0,$H34-$I34))</f>
        <v/>
      </c>
      <c r="K34" s="11" t="str">
        <f aca="false">IF($B34="","",IF($D34&lt;&gt;"",$D34,$G34-$H34))</f>
        <v/>
      </c>
      <c r="L34" s="11" t="str">
        <f aca="false">IF($B34="","",$L33-$K34)</f>
        <v/>
      </c>
      <c r="M34" s="5"/>
    </row>
    <row r="35" customFormat="false" ht="15" hidden="false" customHeight="false" outlineLevel="0" collapsed="false">
      <c r="A35" s="20" t="n">
        <v>29</v>
      </c>
      <c r="B35" s="8"/>
      <c r="C35" s="5"/>
      <c r="D35" s="5"/>
      <c r="E35" s="5"/>
      <c r="F35" s="21" t="str">
        <f aca="false">IF($B35="","",$B35-$B34)</f>
        <v/>
      </c>
      <c r="G35" s="11" t="str">
        <f aca="false">IF($B35="","",IF($C35&lt;&gt;"",$C35,N($D35)+N($E35)))</f>
        <v/>
      </c>
      <c r="H35" s="11" t="str">
        <f aca="false">IF($B35="","",IF($E35&lt;&gt;"",$E35,$L34*Calculator!$B$5*$F35/Calculator!$B$7))</f>
        <v/>
      </c>
      <c r="I35" s="11" t="str">
        <f aca="false">IF($B35="","",$L34*Calculator!$B$6*$F35/Calculator!$B$7)</f>
        <v/>
      </c>
      <c r="J35" s="11" t="str">
        <f aca="false">IF($B35="","",MAX(0,$H35-$I35))</f>
        <v/>
      </c>
      <c r="K35" s="11" t="str">
        <f aca="false">IF($B35="","",IF($D35&lt;&gt;"",$D35,$G35-$H35))</f>
        <v/>
      </c>
      <c r="L35" s="11" t="str">
        <f aca="false">IF($B35="","",$L34-$K35)</f>
        <v/>
      </c>
      <c r="M35" s="5"/>
    </row>
    <row r="36" customFormat="false" ht="15" hidden="false" customHeight="false" outlineLevel="0" collapsed="false">
      <c r="A36" s="20" t="n">
        <v>30</v>
      </c>
      <c r="B36" s="8"/>
      <c r="C36" s="5"/>
      <c r="D36" s="5"/>
      <c r="E36" s="5"/>
      <c r="F36" s="21" t="str">
        <f aca="false">IF($B36="","",$B36-$B35)</f>
        <v/>
      </c>
      <c r="G36" s="11" t="str">
        <f aca="false">IF($B36="","",IF($C36&lt;&gt;"",$C36,N($D36)+N($E36)))</f>
        <v/>
      </c>
      <c r="H36" s="11" t="str">
        <f aca="false">IF($B36="","",IF($E36&lt;&gt;"",$E36,$L35*Calculator!$B$5*$F36/Calculator!$B$7))</f>
        <v/>
      </c>
      <c r="I36" s="11" t="str">
        <f aca="false">IF($B36="","",$L35*Calculator!$B$6*$F36/Calculator!$B$7)</f>
        <v/>
      </c>
      <c r="J36" s="11" t="str">
        <f aca="false">IF($B36="","",MAX(0,$H36-$I36))</f>
        <v/>
      </c>
      <c r="K36" s="11" t="str">
        <f aca="false">IF($B36="","",IF($D36&lt;&gt;"",$D36,$G36-$H36))</f>
        <v/>
      </c>
      <c r="L36" s="11" t="str">
        <f aca="false">IF($B36="","",$L35-$K36)</f>
        <v/>
      </c>
      <c r="M36" s="5"/>
    </row>
    <row r="37" customFormat="false" ht="15" hidden="false" customHeight="false" outlineLevel="0" collapsed="false">
      <c r="A37" s="20" t="n">
        <v>31</v>
      </c>
      <c r="B37" s="8"/>
      <c r="C37" s="5"/>
      <c r="D37" s="5"/>
      <c r="E37" s="5"/>
      <c r="F37" s="21" t="str">
        <f aca="false">IF($B37="","",$B37-$B36)</f>
        <v/>
      </c>
      <c r="G37" s="11" t="str">
        <f aca="false">IF($B37="","",IF($C37&lt;&gt;"",$C37,N($D37)+N($E37)))</f>
        <v/>
      </c>
      <c r="H37" s="11" t="str">
        <f aca="false">IF($B37="","",IF($E37&lt;&gt;"",$E37,$L36*Calculator!$B$5*$F37/Calculator!$B$7))</f>
        <v/>
      </c>
      <c r="I37" s="11" t="str">
        <f aca="false">IF($B37="","",$L36*Calculator!$B$6*$F37/Calculator!$B$7)</f>
        <v/>
      </c>
      <c r="J37" s="11" t="str">
        <f aca="false">IF($B37="","",MAX(0,$H37-$I37))</f>
        <v/>
      </c>
      <c r="K37" s="11" t="str">
        <f aca="false">IF($B37="","",IF($D37&lt;&gt;"",$D37,$G37-$H37))</f>
        <v/>
      </c>
      <c r="L37" s="11" t="str">
        <f aca="false">IF($B37="","",$L36-$K37)</f>
        <v/>
      </c>
      <c r="M37" s="5"/>
    </row>
    <row r="38" customFormat="false" ht="15" hidden="false" customHeight="false" outlineLevel="0" collapsed="false">
      <c r="A38" s="20" t="n">
        <v>32</v>
      </c>
      <c r="B38" s="8"/>
      <c r="C38" s="5"/>
      <c r="D38" s="5"/>
      <c r="E38" s="5"/>
      <c r="F38" s="21" t="str">
        <f aca="false">IF($B38="","",$B38-$B37)</f>
        <v/>
      </c>
      <c r="G38" s="11" t="str">
        <f aca="false">IF($B38="","",IF($C38&lt;&gt;"",$C38,N($D38)+N($E38)))</f>
        <v/>
      </c>
      <c r="H38" s="11" t="str">
        <f aca="false">IF($B38="","",IF($E38&lt;&gt;"",$E38,$L37*Calculator!$B$5*$F38/Calculator!$B$7))</f>
        <v/>
      </c>
      <c r="I38" s="11" t="str">
        <f aca="false">IF($B38="","",$L37*Calculator!$B$6*$F38/Calculator!$B$7)</f>
        <v/>
      </c>
      <c r="J38" s="11" t="str">
        <f aca="false">IF($B38="","",MAX(0,$H38-$I38))</f>
        <v/>
      </c>
      <c r="K38" s="11" t="str">
        <f aca="false">IF($B38="","",IF($D38&lt;&gt;"",$D38,$G38-$H38))</f>
        <v/>
      </c>
      <c r="L38" s="11" t="str">
        <f aca="false">IF($B38="","",$L37-$K38)</f>
        <v/>
      </c>
      <c r="M38" s="5"/>
    </row>
    <row r="39" customFormat="false" ht="15" hidden="false" customHeight="false" outlineLevel="0" collapsed="false">
      <c r="A39" s="20" t="n">
        <v>33</v>
      </c>
      <c r="B39" s="8"/>
      <c r="C39" s="5"/>
      <c r="D39" s="5"/>
      <c r="E39" s="5"/>
      <c r="F39" s="21" t="str">
        <f aca="false">IF($B39="","",$B39-$B38)</f>
        <v/>
      </c>
      <c r="G39" s="11" t="str">
        <f aca="false">IF($B39="","",IF($C39&lt;&gt;"",$C39,N($D39)+N($E39)))</f>
        <v/>
      </c>
      <c r="H39" s="11" t="str">
        <f aca="false">IF($B39="","",IF($E39&lt;&gt;"",$E39,$L38*Calculator!$B$5*$F39/Calculator!$B$7))</f>
        <v/>
      </c>
      <c r="I39" s="11" t="str">
        <f aca="false">IF($B39="","",$L38*Calculator!$B$6*$F39/Calculator!$B$7)</f>
        <v/>
      </c>
      <c r="J39" s="11" t="str">
        <f aca="false">IF($B39="","",MAX(0,$H39-$I39))</f>
        <v/>
      </c>
      <c r="K39" s="11" t="str">
        <f aca="false">IF($B39="","",IF($D39&lt;&gt;"",$D39,$G39-$H39))</f>
        <v/>
      </c>
      <c r="L39" s="11" t="str">
        <f aca="false">IF($B39="","",$L38-$K39)</f>
        <v/>
      </c>
      <c r="M39" s="5"/>
    </row>
    <row r="40" customFormat="false" ht="15" hidden="false" customHeight="false" outlineLevel="0" collapsed="false">
      <c r="A40" s="20" t="n">
        <v>34</v>
      </c>
      <c r="B40" s="8"/>
      <c r="C40" s="5"/>
      <c r="D40" s="5"/>
      <c r="E40" s="5"/>
      <c r="F40" s="21" t="str">
        <f aca="false">IF($B40="","",$B40-$B39)</f>
        <v/>
      </c>
      <c r="G40" s="11" t="str">
        <f aca="false">IF($B40="","",IF($C40&lt;&gt;"",$C40,N($D40)+N($E40)))</f>
        <v/>
      </c>
      <c r="H40" s="11" t="str">
        <f aca="false">IF($B40="","",IF($E40&lt;&gt;"",$E40,$L39*Calculator!$B$5*$F40/Calculator!$B$7))</f>
        <v/>
      </c>
      <c r="I40" s="11" t="str">
        <f aca="false">IF($B40="","",$L39*Calculator!$B$6*$F40/Calculator!$B$7)</f>
        <v/>
      </c>
      <c r="J40" s="11" t="str">
        <f aca="false">IF($B40="","",MAX(0,$H40-$I40))</f>
        <v/>
      </c>
      <c r="K40" s="11" t="str">
        <f aca="false">IF($B40="","",IF($D40&lt;&gt;"",$D40,$G40-$H40))</f>
        <v/>
      </c>
      <c r="L40" s="11" t="str">
        <f aca="false">IF($B40="","",$L39-$K40)</f>
        <v/>
      </c>
      <c r="M40" s="5"/>
    </row>
    <row r="41" customFormat="false" ht="15" hidden="false" customHeight="false" outlineLevel="0" collapsed="false">
      <c r="A41" s="20" t="n">
        <v>35</v>
      </c>
      <c r="B41" s="8"/>
      <c r="C41" s="5"/>
      <c r="D41" s="5"/>
      <c r="E41" s="5"/>
      <c r="F41" s="21" t="str">
        <f aca="false">IF($B41="","",$B41-$B40)</f>
        <v/>
      </c>
      <c r="G41" s="11" t="str">
        <f aca="false">IF($B41="","",IF($C41&lt;&gt;"",$C41,N($D41)+N($E41)))</f>
        <v/>
      </c>
      <c r="H41" s="11" t="str">
        <f aca="false">IF($B41="","",IF($E41&lt;&gt;"",$E41,$L40*Calculator!$B$5*$F41/Calculator!$B$7))</f>
        <v/>
      </c>
      <c r="I41" s="11" t="str">
        <f aca="false">IF($B41="","",$L40*Calculator!$B$6*$F41/Calculator!$B$7)</f>
        <v/>
      </c>
      <c r="J41" s="11" t="str">
        <f aca="false">IF($B41="","",MAX(0,$H41-$I41))</f>
        <v/>
      </c>
      <c r="K41" s="11" t="str">
        <f aca="false">IF($B41="","",IF($D41&lt;&gt;"",$D41,$G41-$H41))</f>
        <v/>
      </c>
      <c r="L41" s="11" t="str">
        <f aca="false">IF($B41="","",$L40-$K41)</f>
        <v/>
      </c>
      <c r="M41" s="5"/>
    </row>
    <row r="42" customFormat="false" ht="15" hidden="false" customHeight="false" outlineLevel="0" collapsed="false">
      <c r="A42" s="20" t="n">
        <v>36</v>
      </c>
      <c r="B42" s="8"/>
      <c r="C42" s="5"/>
      <c r="D42" s="5"/>
      <c r="E42" s="5"/>
      <c r="F42" s="21" t="str">
        <f aca="false">IF($B42="","",$B42-$B41)</f>
        <v/>
      </c>
      <c r="G42" s="11" t="str">
        <f aca="false">IF($B42="","",IF($C42&lt;&gt;"",$C42,N($D42)+N($E42)))</f>
        <v/>
      </c>
      <c r="H42" s="11" t="str">
        <f aca="false">IF($B42="","",IF($E42&lt;&gt;"",$E42,$L41*Calculator!$B$5*$F42/Calculator!$B$7))</f>
        <v/>
      </c>
      <c r="I42" s="11" t="str">
        <f aca="false">IF($B42="","",$L41*Calculator!$B$6*$F42/Calculator!$B$7)</f>
        <v/>
      </c>
      <c r="J42" s="11" t="str">
        <f aca="false">IF($B42="","",MAX(0,$H42-$I42))</f>
        <v/>
      </c>
      <c r="K42" s="11" t="str">
        <f aca="false">IF($B42="","",IF($D42&lt;&gt;"",$D42,$G42-$H42))</f>
        <v/>
      </c>
      <c r="L42" s="11" t="str">
        <f aca="false">IF($B42="","",$L41-$K42)</f>
        <v/>
      </c>
      <c r="M42" s="5"/>
    </row>
    <row r="43" customFormat="false" ht="15" hidden="false" customHeight="false" outlineLevel="0" collapsed="false">
      <c r="A43" s="20" t="n">
        <v>37</v>
      </c>
      <c r="B43" s="8"/>
      <c r="C43" s="5"/>
      <c r="D43" s="5"/>
      <c r="E43" s="5"/>
      <c r="F43" s="21" t="str">
        <f aca="false">IF($B43="","",$B43-$B42)</f>
        <v/>
      </c>
      <c r="G43" s="11" t="str">
        <f aca="false">IF($B43="","",IF($C43&lt;&gt;"",$C43,N($D43)+N($E43)))</f>
        <v/>
      </c>
      <c r="H43" s="11" t="str">
        <f aca="false">IF($B43="","",IF($E43&lt;&gt;"",$E43,$L42*Calculator!$B$5*$F43/Calculator!$B$7))</f>
        <v/>
      </c>
      <c r="I43" s="11" t="str">
        <f aca="false">IF($B43="","",$L42*Calculator!$B$6*$F43/Calculator!$B$7)</f>
        <v/>
      </c>
      <c r="J43" s="11" t="str">
        <f aca="false">IF($B43="","",MAX(0,$H43-$I43))</f>
        <v/>
      </c>
      <c r="K43" s="11" t="str">
        <f aca="false">IF($B43="","",IF($D43&lt;&gt;"",$D43,$G43-$H43))</f>
        <v/>
      </c>
      <c r="L43" s="11" t="str">
        <f aca="false">IF($B43="","",$L42-$K43)</f>
        <v/>
      </c>
      <c r="M43" s="5"/>
    </row>
    <row r="44" customFormat="false" ht="15" hidden="false" customHeight="false" outlineLevel="0" collapsed="false">
      <c r="A44" s="20" t="n">
        <v>38</v>
      </c>
      <c r="B44" s="8"/>
      <c r="C44" s="5"/>
      <c r="D44" s="5"/>
      <c r="E44" s="5"/>
      <c r="F44" s="21" t="str">
        <f aca="false">IF($B44="","",$B44-$B43)</f>
        <v/>
      </c>
      <c r="G44" s="11" t="str">
        <f aca="false">IF($B44="","",IF($C44&lt;&gt;"",$C44,N($D44)+N($E44)))</f>
        <v/>
      </c>
      <c r="H44" s="11" t="str">
        <f aca="false">IF($B44="","",IF($E44&lt;&gt;"",$E44,$L43*Calculator!$B$5*$F44/Calculator!$B$7))</f>
        <v/>
      </c>
      <c r="I44" s="11" t="str">
        <f aca="false">IF($B44="","",$L43*Calculator!$B$6*$F44/Calculator!$B$7)</f>
        <v/>
      </c>
      <c r="J44" s="11" t="str">
        <f aca="false">IF($B44="","",MAX(0,$H44-$I44))</f>
        <v/>
      </c>
      <c r="K44" s="11" t="str">
        <f aca="false">IF($B44="","",IF($D44&lt;&gt;"",$D44,$G44-$H44))</f>
        <v/>
      </c>
      <c r="L44" s="11" t="str">
        <f aca="false">IF($B44="","",$L43-$K44)</f>
        <v/>
      </c>
      <c r="M44" s="5"/>
    </row>
    <row r="45" customFormat="false" ht="15" hidden="false" customHeight="false" outlineLevel="0" collapsed="false">
      <c r="A45" s="20" t="n">
        <v>39</v>
      </c>
      <c r="B45" s="8"/>
      <c r="C45" s="5"/>
      <c r="D45" s="5"/>
      <c r="E45" s="5"/>
      <c r="F45" s="21" t="str">
        <f aca="false">IF($B45="","",$B45-$B44)</f>
        <v/>
      </c>
      <c r="G45" s="11" t="str">
        <f aca="false">IF($B45="","",IF($C45&lt;&gt;"",$C45,N($D45)+N($E45)))</f>
        <v/>
      </c>
      <c r="H45" s="11" t="str">
        <f aca="false">IF($B45="","",IF($E45&lt;&gt;"",$E45,$L44*Calculator!$B$5*$F45/Calculator!$B$7))</f>
        <v/>
      </c>
      <c r="I45" s="11" t="str">
        <f aca="false">IF($B45="","",$L44*Calculator!$B$6*$F45/Calculator!$B$7)</f>
        <v/>
      </c>
      <c r="J45" s="11" t="str">
        <f aca="false">IF($B45="","",MAX(0,$H45-$I45))</f>
        <v/>
      </c>
      <c r="K45" s="11" t="str">
        <f aca="false">IF($B45="","",IF($D45&lt;&gt;"",$D45,$G45-$H45))</f>
        <v/>
      </c>
      <c r="L45" s="11" t="str">
        <f aca="false">IF($B45="","",$L44-$K45)</f>
        <v/>
      </c>
      <c r="M45" s="5"/>
    </row>
    <row r="46" customFormat="false" ht="15" hidden="false" customHeight="false" outlineLevel="0" collapsed="false">
      <c r="A46" s="20" t="n">
        <v>40</v>
      </c>
      <c r="B46" s="8"/>
      <c r="C46" s="5"/>
      <c r="D46" s="5"/>
      <c r="E46" s="5"/>
      <c r="F46" s="21" t="str">
        <f aca="false">IF($B46="","",$B46-$B45)</f>
        <v/>
      </c>
      <c r="G46" s="11" t="str">
        <f aca="false">IF($B46="","",IF($C46&lt;&gt;"",$C46,N($D46)+N($E46)))</f>
        <v/>
      </c>
      <c r="H46" s="11" t="str">
        <f aca="false">IF($B46="","",IF($E46&lt;&gt;"",$E46,$L45*Calculator!$B$5*$F46/Calculator!$B$7))</f>
        <v/>
      </c>
      <c r="I46" s="11" t="str">
        <f aca="false">IF($B46="","",$L45*Calculator!$B$6*$F46/Calculator!$B$7)</f>
        <v/>
      </c>
      <c r="J46" s="11" t="str">
        <f aca="false">IF($B46="","",MAX(0,$H46-$I46))</f>
        <v/>
      </c>
      <c r="K46" s="11" t="str">
        <f aca="false">IF($B46="","",IF($D46&lt;&gt;"",$D46,$G46-$H46))</f>
        <v/>
      </c>
      <c r="L46" s="11" t="str">
        <f aca="false">IF($B46="","",$L45-$K46)</f>
        <v/>
      </c>
      <c r="M46" s="5"/>
    </row>
    <row r="47" customFormat="false" ht="15" hidden="false" customHeight="false" outlineLevel="0" collapsed="false">
      <c r="A47" s="20" t="n">
        <v>41</v>
      </c>
      <c r="B47" s="8"/>
      <c r="C47" s="5"/>
      <c r="D47" s="5"/>
      <c r="E47" s="5"/>
      <c r="F47" s="21" t="str">
        <f aca="false">IF($B47="","",$B47-$B46)</f>
        <v/>
      </c>
      <c r="G47" s="11" t="str">
        <f aca="false">IF($B47="","",IF($C47&lt;&gt;"",$C47,N($D47)+N($E47)))</f>
        <v/>
      </c>
      <c r="H47" s="11" t="str">
        <f aca="false">IF($B47="","",IF($E47&lt;&gt;"",$E47,$L46*Calculator!$B$5*$F47/Calculator!$B$7))</f>
        <v/>
      </c>
      <c r="I47" s="11" t="str">
        <f aca="false">IF($B47="","",$L46*Calculator!$B$6*$F47/Calculator!$B$7)</f>
        <v/>
      </c>
      <c r="J47" s="11" t="str">
        <f aca="false">IF($B47="","",MAX(0,$H47-$I47))</f>
        <v/>
      </c>
      <c r="K47" s="11" t="str">
        <f aca="false">IF($B47="","",IF($D47&lt;&gt;"",$D47,$G47-$H47))</f>
        <v/>
      </c>
      <c r="L47" s="11" t="str">
        <f aca="false">IF($B47="","",$L46-$K47)</f>
        <v/>
      </c>
      <c r="M47" s="5"/>
    </row>
    <row r="48" customFormat="false" ht="15" hidden="false" customHeight="false" outlineLevel="0" collapsed="false">
      <c r="A48" s="20" t="n">
        <v>42</v>
      </c>
      <c r="B48" s="8"/>
      <c r="C48" s="5"/>
      <c r="D48" s="5"/>
      <c r="E48" s="5"/>
      <c r="F48" s="21" t="str">
        <f aca="false">IF($B48="","",$B48-$B47)</f>
        <v/>
      </c>
      <c r="G48" s="11" t="str">
        <f aca="false">IF($B48="","",IF($C48&lt;&gt;"",$C48,N($D48)+N($E48)))</f>
        <v/>
      </c>
      <c r="H48" s="11" t="str">
        <f aca="false">IF($B48="","",IF($E48&lt;&gt;"",$E48,$L47*Calculator!$B$5*$F48/Calculator!$B$7))</f>
        <v/>
      </c>
      <c r="I48" s="11" t="str">
        <f aca="false">IF($B48="","",$L47*Calculator!$B$6*$F48/Calculator!$B$7)</f>
        <v/>
      </c>
      <c r="J48" s="11" t="str">
        <f aca="false">IF($B48="","",MAX(0,$H48-$I48))</f>
        <v/>
      </c>
      <c r="K48" s="11" t="str">
        <f aca="false">IF($B48="","",IF($D48&lt;&gt;"",$D48,$G48-$H48))</f>
        <v/>
      </c>
      <c r="L48" s="11" t="str">
        <f aca="false">IF($B48="","",$L47-$K48)</f>
        <v/>
      </c>
      <c r="M48" s="5"/>
    </row>
    <row r="49" customFormat="false" ht="15" hidden="false" customHeight="false" outlineLevel="0" collapsed="false">
      <c r="A49" s="20" t="n">
        <v>43</v>
      </c>
      <c r="B49" s="8"/>
      <c r="C49" s="5"/>
      <c r="D49" s="5"/>
      <c r="E49" s="5"/>
      <c r="F49" s="21" t="str">
        <f aca="false">IF($B49="","",$B49-$B48)</f>
        <v/>
      </c>
      <c r="G49" s="11" t="str">
        <f aca="false">IF($B49="","",IF($C49&lt;&gt;"",$C49,N($D49)+N($E49)))</f>
        <v/>
      </c>
      <c r="H49" s="11" t="str">
        <f aca="false">IF($B49="","",IF($E49&lt;&gt;"",$E49,$L48*Calculator!$B$5*$F49/Calculator!$B$7))</f>
        <v/>
      </c>
      <c r="I49" s="11" t="str">
        <f aca="false">IF($B49="","",$L48*Calculator!$B$6*$F49/Calculator!$B$7)</f>
        <v/>
      </c>
      <c r="J49" s="11" t="str">
        <f aca="false">IF($B49="","",MAX(0,$H49-$I49))</f>
        <v/>
      </c>
      <c r="K49" s="11" t="str">
        <f aca="false">IF($B49="","",IF($D49&lt;&gt;"",$D49,$G49-$H49))</f>
        <v/>
      </c>
      <c r="L49" s="11" t="str">
        <f aca="false">IF($B49="","",$L48-$K49)</f>
        <v/>
      </c>
      <c r="M49" s="5"/>
    </row>
    <row r="50" customFormat="false" ht="15" hidden="false" customHeight="false" outlineLevel="0" collapsed="false">
      <c r="A50" s="20" t="n">
        <v>44</v>
      </c>
      <c r="B50" s="8"/>
      <c r="C50" s="5"/>
      <c r="D50" s="5"/>
      <c r="E50" s="5"/>
      <c r="F50" s="21" t="str">
        <f aca="false">IF($B50="","",$B50-$B49)</f>
        <v/>
      </c>
      <c r="G50" s="11" t="str">
        <f aca="false">IF($B50="","",IF($C50&lt;&gt;"",$C50,N($D50)+N($E50)))</f>
        <v/>
      </c>
      <c r="H50" s="11" t="str">
        <f aca="false">IF($B50="","",IF($E50&lt;&gt;"",$E50,$L49*Calculator!$B$5*$F50/Calculator!$B$7))</f>
        <v/>
      </c>
      <c r="I50" s="11" t="str">
        <f aca="false">IF($B50="","",$L49*Calculator!$B$6*$F50/Calculator!$B$7)</f>
        <v/>
      </c>
      <c r="J50" s="11" t="str">
        <f aca="false">IF($B50="","",MAX(0,$H50-$I50))</f>
        <v/>
      </c>
      <c r="K50" s="11" t="str">
        <f aca="false">IF($B50="","",IF($D50&lt;&gt;"",$D50,$G50-$H50))</f>
        <v/>
      </c>
      <c r="L50" s="11" t="str">
        <f aca="false">IF($B50="","",$L49-$K50)</f>
        <v/>
      </c>
      <c r="M50" s="5"/>
    </row>
    <row r="51" customFormat="false" ht="15" hidden="false" customHeight="false" outlineLevel="0" collapsed="false">
      <c r="A51" s="20" t="n">
        <v>45</v>
      </c>
      <c r="B51" s="8"/>
      <c r="C51" s="5"/>
      <c r="D51" s="5"/>
      <c r="E51" s="5"/>
      <c r="F51" s="21" t="str">
        <f aca="false">IF($B51="","",$B51-$B50)</f>
        <v/>
      </c>
      <c r="G51" s="11" t="str">
        <f aca="false">IF($B51="","",IF($C51&lt;&gt;"",$C51,N($D51)+N($E51)))</f>
        <v/>
      </c>
      <c r="H51" s="11" t="str">
        <f aca="false">IF($B51="","",IF($E51&lt;&gt;"",$E51,$L50*Calculator!$B$5*$F51/Calculator!$B$7))</f>
        <v/>
      </c>
      <c r="I51" s="11" t="str">
        <f aca="false">IF($B51="","",$L50*Calculator!$B$6*$F51/Calculator!$B$7)</f>
        <v/>
      </c>
      <c r="J51" s="11" t="str">
        <f aca="false">IF($B51="","",MAX(0,$H51-$I51))</f>
        <v/>
      </c>
      <c r="K51" s="11" t="str">
        <f aca="false">IF($B51="","",IF($D51&lt;&gt;"",$D51,$G51-$H51))</f>
        <v/>
      </c>
      <c r="L51" s="11" t="str">
        <f aca="false">IF($B51="","",$L50-$K51)</f>
        <v/>
      </c>
      <c r="M51" s="5"/>
    </row>
    <row r="52" customFormat="false" ht="15" hidden="false" customHeight="false" outlineLevel="0" collapsed="false">
      <c r="A52" s="20" t="n">
        <v>46</v>
      </c>
      <c r="B52" s="8"/>
      <c r="C52" s="5"/>
      <c r="D52" s="5"/>
      <c r="E52" s="5"/>
      <c r="F52" s="21" t="str">
        <f aca="false">IF($B52="","",$B52-$B51)</f>
        <v/>
      </c>
      <c r="G52" s="11" t="str">
        <f aca="false">IF($B52="","",IF($C52&lt;&gt;"",$C52,N($D52)+N($E52)))</f>
        <v/>
      </c>
      <c r="H52" s="11" t="str">
        <f aca="false">IF($B52="","",IF($E52&lt;&gt;"",$E52,$L51*Calculator!$B$5*$F52/Calculator!$B$7))</f>
        <v/>
      </c>
      <c r="I52" s="11" t="str">
        <f aca="false">IF($B52="","",$L51*Calculator!$B$6*$F52/Calculator!$B$7)</f>
        <v/>
      </c>
      <c r="J52" s="11" t="str">
        <f aca="false">IF($B52="","",MAX(0,$H52-$I52))</f>
        <v/>
      </c>
      <c r="K52" s="11" t="str">
        <f aca="false">IF($B52="","",IF($D52&lt;&gt;"",$D52,$G52-$H52))</f>
        <v/>
      </c>
      <c r="L52" s="11" t="str">
        <f aca="false">IF($B52="","",$L51-$K52)</f>
        <v/>
      </c>
      <c r="M52" s="5"/>
    </row>
    <row r="53" customFormat="false" ht="15" hidden="false" customHeight="false" outlineLevel="0" collapsed="false">
      <c r="A53" s="20" t="n">
        <v>47</v>
      </c>
      <c r="B53" s="8"/>
      <c r="C53" s="5"/>
      <c r="D53" s="5"/>
      <c r="E53" s="5"/>
      <c r="F53" s="21" t="str">
        <f aca="false">IF($B53="","",$B53-$B52)</f>
        <v/>
      </c>
      <c r="G53" s="11" t="str">
        <f aca="false">IF($B53="","",IF($C53&lt;&gt;"",$C53,N($D53)+N($E53)))</f>
        <v/>
      </c>
      <c r="H53" s="11" t="str">
        <f aca="false">IF($B53="","",IF($E53&lt;&gt;"",$E53,$L52*Calculator!$B$5*$F53/Calculator!$B$7))</f>
        <v/>
      </c>
      <c r="I53" s="11" t="str">
        <f aca="false">IF($B53="","",$L52*Calculator!$B$6*$F53/Calculator!$B$7)</f>
        <v/>
      </c>
      <c r="J53" s="11" t="str">
        <f aca="false">IF($B53="","",MAX(0,$H53-$I53))</f>
        <v/>
      </c>
      <c r="K53" s="11" t="str">
        <f aca="false">IF($B53="","",IF($D53&lt;&gt;"",$D53,$G53-$H53))</f>
        <v/>
      </c>
      <c r="L53" s="11" t="str">
        <f aca="false">IF($B53="","",$L52-$K53)</f>
        <v/>
      </c>
      <c r="M53" s="5"/>
    </row>
    <row r="54" customFormat="false" ht="15" hidden="false" customHeight="false" outlineLevel="0" collapsed="false">
      <c r="A54" s="20" t="n">
        <v>48</v>
      </c>
      <c r="B54" s="8"/>
      <c r="C54" s="5"/>
      <c r="D54" s="5"/>
      <c r="E54" s="5"/>
      <c r="F54" s="21" t="str">
        <f aca="false">IF($B54="","",$B54-$B53)</f>
        <v/>
      </c>
      <c r="G54" s="11" t="str">
        <f aca="false">IF($B54="","",IF($C54&lt;&gt;"",$C54,N($D54)+N($E54)))</f>
        <v/>
      </c>
      <c r="H54" s="11" t="str">
        <f aca="false">IF($B54="","",IF($E54&lt;&gt;"",$E54,$L53*Calculator!$B$5*$F54/Calculator!$B$7))</f>
        <v/>
      </c>
      <c r="I54" s="11" t="str">
        <f aca="false">IF($B54="","",$L53*Calculator!$B$6*$F54/Calculator!$B$7)</f>
        <v/>
      </c>
      <c r="J54" s="11" t="str">
        <f aca="false">IF($B54="","",MAX(0,$H54-$I54))</f>
        <v/>
      </c>
      <c r="K54" s="11" t="str">
        <f aca="false">IF($B54="","",IF($D54&lt;&gt;"",$D54,$G54-$H54))</f>
        <v/>
      </c>
      <c r="L54" s="11" t="str">
        <f aca="false">IF($B54="","",$L53-$K54)</f>
        <v/>
      </c>
      <c r="M54" s="5"/>
    </row>
    <row r="55" customFormat="false" ht="15" hidden="false" customHeight="false" outlineLevel="0" collapsed="false">
      <c r="A55" s="20" t="n">
        <v>49</v>
      </c>
      <c r="B55" s="8"/>
      <c r="C55" s="5"/>
      <c r="D55" s="5"/>
      <c r="E55" s="5"/>
      <c r="F55" s="21" t="str">
        <f aca="false">IF($B55="","",$B55-$B54)</f>
        <v/>
      </c>
      <c r="G55" s="11" t="str">
        <f aca="false">IF($B55="","",IF($C55&lt;&gt;"",$C55,N($D55)+N($E55)))</f>
        <v/>
      </c>
      <c r="H55" s="11" t="str">
        <f aca="false">IF($B55="","",IF($E55&lt;&gt;"",$E55,$L54*Calculator!$B$5*$F55/Calculator!$B$7))</f>
        <v/>
      </c>
      <c r="I55" s="11" t="str">
        <f aca="false">IF($B55="","",$L54*Calculator!$B$6*$F55/Calculator!$B$7)</f>
        <v/>
      </c>
      <c r="J55" s="11" t="str">
        <f aca="false">IF($B55="","",MAX(0,$H55-$I55))</f>
        <v/>
      </c>
      <c r="K55" s="11" t="str">
        <f aca="false">IF($B55="","",IF($D55&lt;&gt;"",$D55,$G55-$H55))</f>
        <v/>
      </c>
      <c r="L55" s="11" t="str">
        <f aca="false">IF($B55="","",$L54-$K55)</f>
        <v/>
      </c>
      <c r="M55" s="5"/>
    </row>
    <row r="56" customFormat="false" ht="15" hidden="false" customHeight="false" outlineLevel="0" collapsed="false">
      <c r="A56" s="20" t="n">
        <v>50</v>
      </c>
      <c r="B56" s="8"/>
      <c r="C56" s="5"/>
      <c r="D56" s="5"/>
      <c r="E56" s="5"/>
      <c r="F56" s="21" t="str">
        <f aca="false">IF($B56="","",$B56-$B55)</f>
        <v/>
      </c>
      <c r="G56" s="11" t="str">
        <f aca="false">IF($B56="","",IF($C56&lt;&gt;"",$C56,N($D56)+N($E56)))</f>
        <v/>
      </c>
      <c r="H56" s="11" t="str">
        <f aca="false">IF($B56="","",IF($E56&lt;&gt;"",$E56,$L55*Calculator!$B$5*$F56/Calculator!$B$7))</f>
        <v/>
      </c>
      <c r="I56" s="11" t="str">
        <f aca="false">IF($B56="","",$L55*Calculator!$B$6*$F56/Calculator!$B$7)</f>
        <v/>
      </c>
      <c r="J56" s="11" t="str">
        <f aca="false">IF($B56="","",MAX(0,$H56-$I56))</f>
        <v/>
      </c>
      <c r="K56" s="11" t="str">
        <f aca="false">IF($B56="","",IF($D56&lt;&gt;"",$D56,$G56-$H56))</f>
        <v/>
      </c>
      <c r="L56" s="11" t="str">
        <f aca="false">IF($B56="","",$L55-$K56)</f>
        <v/>
      </c>
      <c r="M56" s="5"/>
    </row>
    <row r="57" customFormat="false" ht="15" hidden="false" customHeight="false" outlineLevel="0" collapsed="false">
      <c r="A57" s="20" t="n">
        <v>51</v>
      </c>
      <c r="B57" s="8"/>
      <c r="C57" s="5"/>
      <c r="D57" s="5"/>
      <c r="E57" s="5"/>
      <c r="F57" s="21" t="str">
        <f aca="false">IF($B57="","",$B57-$B56)</f>
        <v/>
      </c>
      <c r="G57" s="11" t="str">
        <f aca="false">IF($B57="","",IF($C57&lt;&gt;"",$C57,N($D57)+N($E57)))</f>
        <v/>
      </c>
      <c r="H57" s="11" t="str">
        <f aca="false">IF($B57="","",IF($E57&lt;&gt;"",$E57,$L56*Calculator!$B$5*$F57/Calculator!$B$7))</f>
        <v/>
      </c>
      <c r="I57" s="11" t="str">
        <f aca="false">IF($B57="","",$L56*Calculator!$B$6*$F57/Calculator!$B$7)</f>
        <v/>
      </c>
      <c r="J57" s="11" t="str">
        <f aca="false">IF($B57="","",MAX(0,$H57-$I57))</f>
        <v/>
      </c>
      <c r="K57" s="11" t="str">
        <f aca="false">IF($B57="","",IF($D57&lt;&gt;"",$D57,$G57-$H57))</f>
        <v/>
      </c>
      <c r="L57" s="11" t="str">
        <f aca="false">IF($B57="","",$L56-$K57)</f>
        <v/>
      </c>
      <c r="M57" s="5"/>
    </row>
    <row r="58" customFormat="false" ht="15" hidden="false" customHeight="false" outlineLevel="0" collapsed="false">
      <c r="A58" s="20" t="n">
        <v>52</v>
      </c>
      <c r="B58" s="8"/>
      <c r="C58" s="5"/>
      <c r="D58" s="5"/>
      <c r="E58" s="5"/>
      <c r="F58" s="21" t="str">
        <f aca="false">IF($B58="","",$B58-$B57)</f>
        <v/>
      </c>
      <c r="G58" s="11" t="str">
        <f aca="false">IF($B58="","",IF($C58&lt;&gt;"",$C58,N($D58)+N($E58)))</f>
        <v/>
      </c>
      <c r="H58" s="11" t="str">
        <f aca="false">IF($B58="","",IF($E58&lt;&gt;"",$E58,$L57*Calculator!$B$5*$F58/Calculator!$B$7))</f>
        <v/>
      </c>
      <c r="I58" s="11" t="str">
        <f aca="false">IF($B58="","",$L57*Calculator!$B$6*$F58/Calculator!$B$7)</f>
        <v/>
      </c>
      <c r="J58" s="11" t="str">
        <f aca="false">IF($B58="","",MAX(0,$H58-$I58))</f>
        <v/>
      </c>
      <c r="K58" s="11" t="str">
        <f aca="false">IF($B58="","",IF($D58&lt;&gt;"",$D58,$G58-$H58))</f>
        <v/>
      </c>
      <c r="L58" s="11" t="str">
        <f aca="false">IF($B58="","",$L57-$K58)</f>
        <v/>
      </c>
      <c r="M58" s="5"/>
    </row>
    <row r="59" customFormat="false" ht="15" hidden="false" customHeight="false" outlineLevel="0" collapsed="false">
      <c r="A59" s="20" t="n">
        <v>53</v>
      </c>
      <c r="B59" s="8"/>
      <c r="C59" s="5"/>
      <c r="D59" s="5"/>
      <c r="E59" s="5"/>
      <c r="F59" s="21" t="str">
        <f aca="false">IF($B59="","",$B59-$B58)</f>
        <v/>
      </c>
      <c r="G59" s="11" t="str">
        <f aca="false">IF($B59="","",IF($C59&lt;&gt;"",$C59,N($D59)+N($E59)))</f>
        <v/>
      </c>
      <c r="H59" s="11" t="str">
        <f aca="false">IF($B59="","",IF($E59&lt;&gt;"",$E59,$L58*Calculator!$B$5*$F59/Calculator!$B$7))</f>
        <v/>
      </c>
      <c r="I59" s="11" t="str">
        <f aca="false">IF($B59="","",$L58*Calculator!$B$6*$F59/Calculator!$B$7)</f>
        <v/>
      </c>
      <c r="J59" s="11" t="str">
        <f aca="false">IF($B59="","",MAX(0,$H59-$I59))</f>
        <v/>
      </c>
      <c r="K59" s="11" t="str">
        <f aca="false">IF($B59="","",IF($D59&lt;&gt;"",$D59,$G59-$H59))</f>
        <v/>
      </c>
      <c r="L59" s="11" t="str">
        <f aca="false">IF($B59="","",$L58-$K59)</f>
        <v/>
      </c>
      <c r="M59" s="5"/>
    </row>
    <row r="60" customFormat="false" ht="15" hidden="false" customHeight="false" outlineLevel="0" collapsed="false">
      <c r="A60" s="20" t="n">
        <v>54</v>
      </c>
      <c r="B60" s="8"/>
      <c r="C60" s="5"/>
      <c r="D60" s="5"/>
      <c r="E60" s="5"/>
      <c r="F60" s="21" t="str">
        <f aca="false">IF($B60="","",$B60-$B59)</f>
        <v/>
      </c>
      <c r="G60" s="11" t="str">
        <f aca="false">IF($B60="","",IF($C60&lt;&gt;"",$C60,N($D60)+N($E60)))</f>
        <v/>
      </c>
      <c r="H60" s="11" t="str">
        <f aca="false">IF($B60="","",IF($E60&lt;&gt;"",$E60,$L59*Calculator!$B$5*$F60/Calculator!$B$7))</f>
        <v/>
      </c>
      <c r="I60" s="11" t="str">
        <f aca="false">IF($B60="","",$L59*Calculator!$B$6*$F60/Calculator!$B$7)</f>
        <v/>
      </c>
      <c r="J60" s="11" t="str">
        <f aca="false">IF($B60="","",MAX(0,$H60-$I60))</f>
        <v/>
      </c>
      <c r="K60" s="11" t="str">
        <f aca="false">IF($B60="","",IF($D60&lt;&gt;"",$D60,$G60-$H60))</f>
        <v/>
      </c>
      <c r="L60" s="11" t="str">
        <f aca="false">IF($B60="","",$L59-$K60)</f>
        <v/>
      </c>
      <c r="M60" s="5"/>
    </row>
    <row r="61" customFormat="false" ht="15" hidden="false" customHeight="false" outlineLevel="0" collapsed="false">
      <c r="A61" s="20" t="n">
        <v>55</v>
      </c>
      <c r="B61" s="8"/>
      <c r="C61" s="5"/>
      <c r="D61" s="5"/>
      <c r="E61" s="5"/>
      <c r="F61" s="21" t="str">
        <f aca="false">IF($B61="","",$B61-$B60)</f>
        <v/>
      </c>
      <c r="G61" s="11" t="str">
        <f aca="false">IF($B61="","",IF($C61&lt;&gt;"",$C61,N($D61)+N($E61)))</f>
        <v/>
      </c>
      <c r="H61" s="11" t="str">
        <f aca="false">IF($B61="","",IF($E61&lt;&gt;"",$E61,$L60*Calculator!$B$5*$F61/Calculator!$B$7))</f>
        <v/>
      </c>
      <c r="I61" s="11" t="str">
        <f aca="false">IF($B61="","",$L60*Calculator!$B$6*$F61/Calculator!$B$7)</f>
        <v/>
      </c>
      <c r="J61" s="11" t="str">
        <f aca="false">IF($B61="","",MAX(0,$H61-$I61))</f>
        <v/>
      </c>
      <c r="K61" s="11" t="str">
        <f aca="false">IF($B61="","",IF($D61&lt;&gt;"",$D61,$G61-$H61))</f>
        <v/>
      </c>
      <c r="L61" s="11" t="str">
        <f aca="false">IF($B61="","",$L60-$K61)</f>
        <v/>
      </c>
      <c r="M61" s="5"/>
    </row>
    <row r="62" customFormat="false" ht="15" hidden="false" customHeight="false" outlineLevel="0" collapsed="false">
      <c r="A62" s="20" t="n">
        <v>56</v>
      </c>
      <c r="B62" s="8"/>
      <c r="C62" s="5"/>
      <c r="D62" s="5"/>
      <c r="E62" s="5"/>
      <c r="F62" s="21" t="str">
        <f aca="false">IF($B62="","",$B62-$B61)</f>
        <v/>
      </c>
      <c r="G62" s="11" t="str">
        <f aca="false">IF($B62="","",IF($C62&lt;&gt;"",$C62,N($D62)+N($E62)))</f>
        <v/>
      </c>
      <c r="H62" s="11" t="str">
        <f aca="false">IF($B62="","",IF($E62&lt;&gt;"",$E62,$L61*Calculator!$B$5*$F62/Calculator!$B$7))</f>
        <v/>
      </c>
      <c r="I62" s="11" t="str">
        <f aca="false">IF($B62="","",$L61*Calculator!$B$6*$F62/Calculator!$B$7)</f>
        <v/>
      </c>
      <c r="J62" s="11" t="str">
        <f aca="false">IF($B62="","",MAX(0,$H62-$I62))</f>
        <v/>
      </c>
      <c r="K62" s="11" t="str">
        <f aca="false">IF($B62="","",IF($D62&lt;&gt;"",$D62,$G62-$H62))</f>
        <v/>
      </c>
      <c r="L62" s="11" t="str">
        <f aca="false">IF($B62="","",$L61-$K62)</f>
        <v/>
      </c>
      <c r="M62" s="5"/>
    </row>
    <row r="63" customFormat="false" ht="15" hidden="false" customHeight="false" outlineLevel="0" collapsed="false">
      <c r="A63" s="20" t="n">
        <v>57</v>
      </c>
      <c r="B63" s="8"/>
      <c r="C63" s="5"/>
      <c r="D63" s="5"/>
      <c r="E63" s="5"/>
      <c r="F63" s="21" t="str">
        <f aca="false">IF($B63="","",$B63-$B62)</f>
        <v/>
      </c>
      <c r="G63" s="11" t="str">
        <f aca="false">IF($B63="","",IF($C63&lt;&gt;"",$C63,N($D63)+N($E63)))</f>
        <v/>
      </c>
      <c r="H63" s="11" t="str">
        <f aca="false">IF($B63="","",IF($E63&lt;&gt;"",$E63,$L62*Calculator!$B$5*$F63/Calculator!$B$7))</f>
        <v/>
      </c>
      <c r="I63" s="11" t="str">
        <f aca="false">IF($B63="","",$L62*Calculator!$B$6*$F63/Calculator!$B$7)</f>
        <v/>
      </c>
      <c r="J63" s="11" t="str">
        <f aca="false">IF($B63="","",MAX(0,$H63-$I63))</f>
        <v/>
      </c>
      <c r="K63" s="11" t="str">
        <f aca="false">IF($B63="","",IF($D63&lt;&gt;"",$D63,$G63-$H63))</f>
        <v/>
      </c>
      <c r="L63" s="11" t="str">
        <f aca="false">IF($B63="","",$L62-$K63)</f>
        <v/>
      </c>
      <c r="M63" s="5"/>
    </row>
    <row r="64" customFormat="false" ht="15" hidden="false" customHeight="false" outlineLevel="0" collapsed="false">
      <c r="A64" s="20" t="n">
        <v>58</v>
      </c>
      <c r="B64" s="8"/>
      <c r="C64" s="5"/>
      <c r="D64" s="5"/>
      <c r="E64" s="5"/>
      <c r="F64" s="21" t="str">
        <f aca="false">IF($B64="","",$B64-$B63)</f>
        <v/>
      </c>
      <c r="G64" s="11" t="str">
        <f aca="false">IF($B64="","",IF($C64&lt;&gt;"",$C64,N($D64)+N($E64)))</f>
        <v/>
      </c>
      <c r="H64" s="11" t="str">
        <f aca="false">IF($B64="","",IF($E64&lt;&gt;"",$E64,$L63*Calculator!$B$5*$F64/Calculator!$B$7))</f>
        <v/>
      </c>
      <c r="I64" s="11" t="str">
        <f aca="false">IF($B64="","",$L63*Calculator!$B$6*$F64/Calculator!$B$7)</f>
        <v/>
      </c>
      <c r="J64" s="11" t="str">
        <f aca="false">IF($B64="","",MAX(0,$H64-$I64))</f>
        <v/>
      </c>
      <c r="K64" s="11" t="str">
        <f aca="false">IF($B64="","",IF($D64&lt;&gt;"",$D64,$G64-$H64))</f>
        <v/>
      </c>
      <c r="L64" s="11" t="str">
        <f aca="false">IF($B64="","",$L63-$K64)</f>
        <v/>
      </c>
      <c r="M64" s="5"/>
    </row>
    <row r="65" customFormat="false" ht="15" hidden="false" customHeight="false" outlineLevel="0" collapsed="false">
      <c r="A65" s="20" t="n">
        <v>59</v>
      </c>
      <c r="B65" s="8"/>
      <c r="C65" s="5"/>
      <c r="D65" s="5"/>
      <c r="E65" s="5"/>
      <c r="F65" s="21" t="str">
        <f aca="false">IF($B65="","",$B65-$B64)</f>
        <v/>
      </c>
      <c r="G65" s="11" t="str">
        <f aca="false">IF($B65="","",IF($C65&lt;&gt;"",$C65,N($D65)+N($E65)))</f>
        <v/>
      </c>
      <c r="H65" s="11" t="str">
        <f aca="false">IF($B65="","",IF($E65&lt;&gt;"",$E65,$L64*Calculator!$B$5*$F65/Calculator!$B$7))</f>
        <v/>
      </c>
      <c r="I65" s="11" t="str">
        <f aca="false">IF($B65="","",$L64*Calculator!$B$6*$F65/Calculator!$B$7)</f>
        <v/>
      </c>
      <c r="J65" s="11" t="str">
        <f aca="false">IF($B65="","",MAX(0,$H65-$I65))</f>
        <v/>
      </c>
      <c r="K65" s="11" t="str">
        <f aca="false">IF($B65="","",IF($D65&lt;&gt;"",$D65,$G65-$H65))</f>
        <v/>
      </c>
      <c r="L65" s="11" t="str">
        <f aca="false">IF($B65="","",$L64-$K65)</f>
        <v/>
      </c>
      <c r="M65" s="5"/>
    </row>
    <row r="66" customFormat="false" ht="15" hidden="false" customHeight="false" outlineLevel="0" collapsed="false">
      <c r="A66" s="20" t="n">
        <v>60</v>
      </c>
      <c r="B66" s="8"/>
      <c r="C66" s="5"/>
      <c r="D66" s="5"/>
      <c r="E66" s="5"/>
      <c r="F66" s="21" t="str">
        <f aca="false">IF($B66="","",$B66-$B65)</f>
        <v/>
      </c>
      <c r="G66" s="11" t="str">
        <f aca="false">IF($B66="","",IF($C66&lt;&gt;"",$C66,N($D66)+N($E66)))</f>
        <v/>
      </c>
      <c r="H66" s="11" t="str">
        <f aca="false">IF($B66="","",IF($E66&lt;&gt;"",$E66,$L65*Calculator!$B$5*$F66/Calculator!$B$7))</f>
        <v/>
      </c>
      <c r="I66" s="11" t="str">
        <f aca="false">IF($B66="","",$L65*Calculator!$B$6*$F66/Calculator!$B$7)</f>
        <v/>
      </c>
      <c r="J66" s="11" t="str">
        <f aca="false">IF($B66="","",MAX(0,$H66-$I66))</f>
        <v/>
      </c>
      <c r="K66" s="11" t="str">
        <f aca="false">IF($B66="","",IF($D66&lt;&gt;"",$D66,$G66-$H66))</f>
        <v/>
      </c>
      <c r="L66" s="11" t="str">
        <f aca="false">IF($B66="","",$L65-$K66)</f>
        <v/>
      </c>
      <c r="M66" s="5"/>
    </row>
    <row r="67" customFormat="false" ht="15" hidden="false" customHeight="false" outlineLevel="0" collapsed="false">
      <c r="A67" s="20" t="n">
        <v>61</v>
      </c>
      <c r="B67" s="8"/>
      <c r="C67" s="5"/>
      <c r="D67" s="5"/>
      <c r="E67" s="5"/>
      <c r="F67" s="21" t="str">
        <f aca="false">IF($B67="","",$B67-$B66)</f>
        <v/>
      </c>
      <c r="G67" s="11" t="str">
        <f aca="false">IF($B67="","",IF($C67&lt;&gt;"",$C67,N($D67)+N($E67)))</f>
        <v/>
      </c>
      <c r="H67" s="11" t="str">
        <f aca="false">IF($B67="","",IF($E67&lt;&gt;"",$E67,$L66*Calculator!$B$5*$F67/Calculator!$B$7))</f>
        <v/>
      </c>
      <c r="I67" s="11" t="str">
        <f aca="false">IF($B67="","",$L66*Calculator!$B$6*$F67/Calculator!$B$7)</f>
        <v/>
      </c>
      <c r="J67" s="11" t="str">
        <f aca="false">IF($B67="","",MAX(0,$H67-$I67))</f>
        <v/>
      </c>
      <c r="K67" s="11" t="str">
        <f aca="false">IF($B67="","",IF($D67&lt;&gt;"",$D67,$G67-$H67))</f>
        <v/>
      </c>
      <c r="L67" s="11" t="str">
        <f aca="false">IF($B67="","",$L66-$K67)</f>
        <v/>
      </c>
      <c r="M67" s="5"/>
    </row>
    <row r="68" customFormat="false" ht="15" hidden="false" customHeight="false" outlineLevel="0" collapsed="false">
      <c r="A68" s="20" t="n">
        <v>62</v>
      </c>
      <c r="B68" s="8"/>
      <c r="C68" s="5"/>
      <c r="D68" s="5"/>
      <c r="E68" s="5"/>
      <c r="F68" s="21" t="str">
        <f aca="false">IF($B68="","",$B68-$B67)</f>
        <v/>
      </c>
      <c r="G68" s="11" t="str">
        <f aca="false">IF($B68="","",IF($C68&lt;&gt;"",$C68,N($D68)+N($E68)))</f>
        <v/>
      </c>
      <c r="H68" s="11" t="str">
        <f aca="false">IF($B68="","",IF($E68&lt;&gt;"",$E68,$L67*Calculator!$B$5*$F68/Calculator!$B$7))</f>
        <v/>
      </c>
      <c r="I68" s="11" t="str">
        <f aca="false">IF($B68="","",$L67*Calculator!$B$6*$F68/Calculator!$B$7)</f>
        <v/>
      </c>
      <c r="J68" s="11" t="str">
        <f aca="false">IF($B68="","",MAX(0,$H68-$I68))</f>
        <v/>
      </c>
      <c r="K68" s="11" t="str">
        <f aca="false">IF($B68="","",IF($D68&lt;&gt;"",$D68,$G68-$H68))</f>
        <v/>
      </c>
      <c r="L68" s="11" t="str">
        <f aca="false">IF($B68="","",$L67-$K68)</f>
        <v/>
      </c>
      <c r="M68" s="5"/>
    </row>
    <row r="69" customFormat="false" ht="15" hidden="false" customHeight="false" outlineLevel="0" collapsed="false">
      <c r="A69" s="20" t="n">
        <v>63</v>
      </c>
      <c r="B69" s="8"/>
      <c r="C69" s="5"/>
      <c r="D69" s="5"/>
      <c r="E69" s="5"/>
      <c r="F69" s="21" t="str">
        <f aca="false">IF($B69="","",$B69-$B68)</f>
        <v/>
      </c>
      <c r="G69" s="11" t="str">
        <f aca="false">IF($B69="","",IF($C69&lt;&gt;"",$C69,N($D69)+N($E69)))</f>
        <v/>
      </c>
      <c r="H69" s="11" t="str">
        <f aca="false">IF($B69="","",IF($E69&lt;&gt;"",$E69,$L68*Calculator!$B$5*$F69/Calculator!$B$7))</f>
        <v/>
      </c>
      <c r="I69" s="11" t="str">
        <f aca="false">IF($B69="","",$L68*Calculator!$B$6*$F69/Calculator!$B$7)</f>
        <v/>
      </c>
      <c r="J69" s="11" t="str">
        <f aca="false">IF($B69="","",MAX(0,$H69-$I69))</f>
        <v/>
      </c>
      <c r="K69" s="11" t="str">
        <f aca="false">IF($B69="","",IF($D69&lt;&gt;"",$D69,$G69-$H69))</f>
        <v/>
      </c>
      <c r="L69" s="11" t="str">
        <f aca="false">IF($B69="","",$L68-$K69)</f>
        <v/>
      </c>
      <c r="M69" s="5"/>
    </row>
    <row r="70" customFormat="false" ht="15" hidden="false" customHeight="false" outlineLevel="0" collapsed="false">
      <c r="A70" s="20" t="n">
        <v>64</v>
      </c>
      <c r="B70" s="8"/>
      <c r="C70" s="5"/>
      <c r="D70" s="5"/>
      <c r="E70" s="5"/>
      <c r="F70" s="21" t="str">
        <f aca="false">IF($B70="","",$B70-$B69)</f>
        <v/>
      </c>
      <c r="G70" s="11" t="str">
        <f aca="false">IF($B70="","",IF($C70&lt;&gt;"",$C70,N($D70)+N($E70)))</f>
        <v/>
      </c>
      <c r="H70" s="11" t="str">
        <f aca="false">IF($B70="","",IF($E70&lt;&gt;"",$E70,$L69*Calculator!$B$5*$F70/Calculator!$B$7))</f>
        <v/>
      </c>
      <c r="I70" s="11" t="str">
        <f aca="false">IF($B70="","",$L69*Calculator!$B$6*$F70/Calculator!$B$7)</f>
        <v/>
      </c>
      <c r="J70" s="11" t="str">
        <f aca="false">IF($B70="","",MAX(0,$H70-$I70))</f>
        <v/>
      </c>
      <c r="K70" s="11" t="str">
        <f aca="false">IF($B70="","",IF($D70&lt;&gt;"",$D70,$G70-$H70))</f>
        <v/>
      </c>
      <c r="L70" s="11" t="str">
        <f aca="false">IF($B70="","",$L69-$K70)</f>
        <v/>
      </c>
      <c r="M70" s="5"/>
    </row>
    <row r="71" customFormat="false" ht="15" hidden="false" customHeight="false" outlineLevel="0" collapsed="false">
      <c r="A71" s="20" t="n">
        <v>65</v>
      </c>
      <c r="B71" s="8"/>
      <c r="C71" s="5"/>
      <c r="D71" s="5"/>
      <c r="E71" s="5"/>
      <c r="F71" s="21" t="str">
        <f aca="false">IF($B71="","",$B71-$B70)</f>
        <v/>
      </c>
      <c r="G71" s="11" t="str">
        <f aca="false">IF($B71="","",IF($C71&lt;&gt;"",$C71,N($D71)+N($E71)))</f>
        <v/>
      </c>
      <c r="H71" s="11" t="str">
        <f aca="false">IF($B71="","",IF($E71&lt;&gt;"",$E71,$L70*Calculator!$B$5*$F71/Calculator!$B$7))</f>
        <v/>
      </c>
      <c r="I71" s="11" t="str">
        <f aca="false">IF($B71="","",$L70*Calculator!$B$6*$F71/Calculator!$B$7)</f>
        <v/>
      </c>
      <c r="J71" s="11" t="str">
        <f aca="false">IF($B71="","",MAX(0,$H71-$I71))</f>
        <v/>
      </c>
      <c r="K71" s="11" t="str">
        <f aca="false">IF($B71="","",IF($D71&lt;&gt;"",$D71,$G71-$H71))</f>
        <v/>
      </c>
      <c r="L71" s="11" t="str">
        <f aca="false">IF($B71="","",$L70-$K71)</f>
        <v/>
      </c>
      <c r="M71" s="5"/>
    </row>
    <row r="72" customFormat="false" ht="15" hidden="false" customHeight="false" outlineLevel="0" collapsed="false">
      <c r="A72" s="20" t="n">
        <v>66</v>
      </c>
      <c r="B72" s="8"/>
      <c r="C72" s="5"/>
      <c r="D72" s="5"/>
      <c r="E72" s="5"/>
      <c r="F72" s="21" t="str">
        <f aca="false">IF($B72="","",$B72-$B71)</f>
        <v/>
      </c>
      <c r="G72" s="11" t="str">
        <f aca="false">IF($B72="","",IF($C72&lt;&gt;"",$C72,N($D72)+N($E72)))</f>
        <v/>
      </c>
      <c r="H72" s="11" t="str">
        <f aca="false">IF($B72="","",IF($E72&lt;&gt;"",$E72,$L71*Calculator!$B$5*$F72/Calculator!$B$7))</f>
        <v/>
      </c>
      <c r="I72" s="11" t="str">
        <f aca="false">IF($B72="","",$L71*Calculator!$B$6*$F72/Calculator!$B$7)</f>
        <v/>
      </c>
      <c r="J72" s="11" t="str">
        <f aca="false">IF($B72="","",MAX(0,$H72-$I72))</f>
        <v/>
      </c>
      <c r="K72" s="11" t="str">
        <f aca="false">IF($B72="","",IF($D72&lt;&gt;"",$D72,$G72-$H72))</f>
        <v/>
      </c>
      <c r="L72" s="11" t="str">
        <f aca="false">IF($B72="","",$L71-$K72)</f>
        <v/>
      </c>
      <c r="M72" s="5"/>
    </row>
    <row r="73" customFormat="false" ht="15" hidden="false" customHeight="false" outlineLevel="0" collapsed="false">
      <c r="A73" s="20" t="n">
        <v>67</v>
      </c>
      <c r="B73" s="8"/>
      <c r="C73" s="5"/>
      <c r="D73" s="5"/>
      <c r="E73" s="5"/>
      <c r="F73" s="21" t="str">
        <f aca="false">IF($B73="","",$B73-$B72)</f>
        <v/>
      </c>
      <c r="G73" s="11" t="str">
        <f aca="false">IF($B73="","",IF($C73&lt;&gt;"",$C73,N($D73)+N($E73)))</f>
        <v/>
      </c>
      <c r="H73" s="11" t="str">
        <f aca="false">IF($B73="","",IF($E73&lt;&gt;"",$E73,$L72*Calculator!$B$5*$F73/Calculator!$B$7))</f>
        <v/>
      </c>
      <c r="I73" s="11" t="str">
        <f aca="false">IF($B73="","",$L72*Calculator!$B$6*$F73/Calculator!$B$7)</f>
        <v/>
      </c>
      <c r="J73" s="11" t="str">
        <f aca="false">IF($B73="","",MAX(0,$H73-$I73))</f>
        <v/>
      </c>
      <c r="K73" s="11" t="str">
        <f aca="false">IF($B73="","",IF($D73&lt;&gt;"",$D73,$G73-$H73))</f>
        <v/>
      </c>
      <c r="L73" s="11" t="str">
        <f aca="false">IF($B73="","",$L72-$K73)</f>
        <v/>
      </c>
      <c r="M73" s="5"/>
    </row>
    <row r="74" customFormat="false" ht="15" hidden="false" customHeight="false" outlineLevel="0" collapsed="false">
      <c r="A74" s="20" t="n">
        <v>68</v>
      </c>
      <c r="B74" s="8"/>
      <c r="C74" s="5"/>
      <c r="D74" s="5"/>
      <c r="E74" s="5"/>
      <c r="F74" s="21" t="str">
        <f aca="false">IF($B74="","",$B74-$B73)</f>
        <v/>
      </c>
      <c r="G74" s="11" t="str">
        <f aca="false">IF($B74="","",IF($C74&lt;&gt;"",$C74,N($D74)+N($E74)))</f>
        <v/>
      </c>
      <c r="H74" s="11" t="str">
        <f aca="false">IF($B74="","",IF($E74&lt;&gt;"",$E74,$L73*Calculator!$B$5*$F74/Calculator!$B$7))</f>
        <v/>
      </c>
      <c r="I74" s="11" t="str">
        <f aca="false">IF($B74="","",$L73*Calculator!$B$6*$F74/Calculator!$B$7)</f>
        <v/>
      </c>
      <c r="J74" s="11" t="str">
        <f aca="false">IF($B74="","",MAX(0,$H74-$I74))</f>
        <v/>
      </c>
      <c r="K74" s="11" t="str">
        <f aca="false">IF($B74="","",IF($D74&lt;&gt;"",$D74,$G74-$H74))</f>
        <v/>
      </c>
      <c r="L74" s="11" t="str">
        <f aca="false">IF($B74="","",$L73-$K74)</f>
        <v/>
      </c>
      <c r="M74" s="5"/>
    </row>
    <row r="75" customFormat="false" ht="15" hidden="false" customHeight="false" outlineLevel="0" collapsed="false">
      <c r="A75" s="20" t="n">
        <v>69</v>
      </c>
      <c r="B75" s="8"/>
      <c r="C75" s="5"/>
      <c r="D75" s="5"/>
      <c r="E75" s="5"/>
      <c r="F75" s="21" t="str">
        <f aca="false">IF($B75="","",$B75-$B74)</f>
        <v/>
      </c>
      <c r="G75" s="11" t="str">
        <f aca="false">IF($B75="","",IF($C75&lt;&gt;"",$C75,N($D75)+N($E75)))</f>
        <v/>
      </c>
      <c r="H75" s="11" t="str">
        <f aca="false">IF($B75="","",IF($E75&lt;&gt;"",$E75,$L74*Calculator!$B$5*$F75/Calculator!$B$7))</f>
        <v/>
      </c>
      <c r="I75" s="11" t="str">
        <f aca="false">IF($B75="","",$L74*Calculator!$B$6*$F75/Calculator!$B$7)</f>
        <v/>
      </c>
      <c r="J75" s="11" t="str">
        <f aca="false">IF($B75="","",MAX(0,$H75-$I75))</f>
        <v/>
      </c>
      <c r="K75" s="11" t="str">
        <f aca="false">IF($B75="","",IF($D75&lt;&gt;"",$D75,$G75-$H75))</f>
        <v/>
      </c>
      <c r="L75" s="11" t="str">
        <f aca="false">IF($B75="","",$L74-$K75)</f>
        <v/>
      </c>
      <c r="M75" s="5"/>
    </row>
    <row r="76" customFormat="false" ht="15" hidden="false" customHeight="false" outlineLevel="0" collapsed="false">
      <c r="A76" s="20" t="n">
        <v>70</v>
      </c>
      <c r="B76" s="8"/>
      <c r="C76" s="5"/>
      <c r="D76" s="5"/>
      <c r="E76" s="5"/>
      <c r="F76" s="21" t="str">
        <f aca="false">IF($B76="","",$B76-$B75)</f>
        <v/>
      </c>
      <c r="G76" s="11" t="str">
        <f aca="false">IF($B76="","",IF($C76&lt;&gt;"",$C76,N($D76)+N($E76)))</f>
        <v/>
      </c>
      <c r="H76" s="11" t="str">
        <f aca="false">IF($B76="","",IF($E76&lt;&gt;"",$E76,$L75*Calculator!$B$5*$F76/Calculator!$B$7))</f>
        <v/>
      </c>
      <c r="I76" s="11" t="str">
        <f aca="false">IF($B76="","",$L75*Calculator!$B$6*$F76/Calculator!$B$7)</f>
        <v/>
      </c>
      <c r="J76" s="11" t="str">
        <f aca="false">IF($B76="","",MAX(0,$H76-$I76))</f>
        <v/>
      </c>
      <c r="K76" s="11" t="str">
        <f aca="false">IF($B76="","",IF($D76&lt;&gt;"",$D76,$G76-$H76))</f>
        <v/>
      </c>
      <c r="L76" s="11" t="str">
        <f aca="false">IF($B76="","",$L75-$K76)</f>
        <v/>
      </c>
      <c r="M76" s="5"/>
    </row>
    <row r="77" customFormat="false" ht="15" hidden="false" customHeight="false" outlineLevel="0" collapsed="false">
      <c r="A77" s="20" t="n">
        <v>71</v>
      </c>
      <c r="B77" s="8"/>
      <c r="C77" s="5"/>
      <c r="D77" s="5"/>
      <c r="E77" s="5"/>
      <c r="F77" s="21" t="str">
        <f aca="false">IF($B77="","",$B77-$B76)</f>
        <v/>
      </c>
      <c r="G77" s="11" t="str">
        <f aca="false">IF($B77="","",IF($C77&lt;&gt;"",$C77,N($D77)+N($E77)))</f>
        <v/>
      </c>
      <c r="H77" s="11" t="str">
        <f aca="false">IF($B77="","",IF($E77&lt;&gt;"",$E77,$L76*Calculator!$B$5*$F77/Calculator!$B$7))</f>
        <v/>
      </c>
      <c r="I77" s="11" t="str">
        <f aca="false">IF($B77="","",$L76*Calculator!$B$6*$F77/Calculator!$B$7)</f>
        <v/>
      </c>
      <c r="J77" s="11" t="str">
        <f aca="false">IF($B77="","",MAX(0,$H77-$I77))</f>
        <v/>
      </c>
      <c r="K77" s="11" t="str">
        <f aca="false">IF($B77="","",IF($D77&lt;&gt;"",$D77,$G77-$H77))</f>
        <v/>
      </c>
      <c r="L77" s="11" t="str">
        <f aca="false">IF($B77="","",$L76-$K77)</f>
        <v/>
      </c>
      <c r="M77" s="5"/>
    </row>
    <row r="78" customFormat="false" ht="15" hidden="false" customHeight="false" outlineLevel="0" collapsed="false">
      <c r="A78" s="20" t="n">
        <v>72</v>
      </c>
      <c r="B78" s="8"/>
      <c r="C78" s="5"/>
      <c r="D78" s="5"/>
      <c r="E78" s="5"/>
      <c r="F78" s="21" t="str">
        <f aca="false">IF($B78="","",$B78-$B77)</f>
        <v/>
      </c>
      <c r="G78" s="11" t="str">
        <f aca="false">IF($B78="","",IF($C78&lt;&gt;"",$C78,N($D78)+N($E78)))</f>
        <v/>
      </c>
      <c r="H78" s="11" t="str">
        <f aca="false">IF($B78="","",IF($E78&lt;&gt;"",$E78,$L77*Calculator!$B$5*$F78/Calculator!$B$7))</f>
        <v/>
      </c>
      <c r="I78" s="11" t="str">
        <f aca="false">IF($B78="","",$L77*Calculator!$B$6*$F78/Calculator!$B$7)</f>
        <v/>
      </c>
      <c r="J78" s="11" t="str">
        <f aca="false">IF($B78="","",MAX(0,$H78-$I78))</f>
        <v/>
      </c>
      <c r="K78" s="11" t="str">
        <f aca="false">IF($B78="","",IF($D78&lt;&gt;"",$D78,$G78-$H78))</f>
        <v/>
      </c>
      <c r="L78" s="11" t="str">
        <f aca="false">IF($B78="","",$L77-$K78)</f>
        <v/>
      </c>
      <c r="M78" s="5"/>
    </row>
    <row r="79" customFormat="false" ht="15" hidden="false" customHeight="false" outlineLevel="0" collapsed="false">
      <c r="A79" s="20" t="n">
        <v>73</v>
      </c>
      <c r="B79" s="8"/>
      <c r="C79" s="5"/>
      <c r="D79" s="5"/>
      <c r="E79" s="5"/>
      <c r="F79" s="21" t="str">
        <f aca="false">IF($B79="","",$B79-$B78)</f>
        <v/>
      </c>
      <c r="G79" s="11" t="str">
        <f aca="false">IF($B79="","",IF($C79&lt;&gt;"",$C79,N($D79)+N($E79)))</f>
        <v/>
      </c>
      <c r="H79" s="11" t="str">
        <f aca="false">IF($B79="","",IF($E79&lt;&gt;"",$E79,$L78*Calculator!$B$5*$F79/Calculator!$B$7))</f>
        <v/>
      </c>
      <c r="I79" s="11" t="str">
        <f aca="false">IF($B79="","",$L78*Calculator!$B$6*$F79/Calculator!$B$7)</f>
        <v/>
      </c>
      <c r="J79" s="11" t="str">
        <f aca="false">IF($B79="","",MAX(0,$H79-$I79))</f>
        <v/>
      </c>
      <c r="K79" s="11" t="str">
        <f aca="false">IF($B79="","",IF($D79&lt;&gt;"",$D79,$G79-$H79))</f>
        <v/>
      </c>
      <c r="L79" s="11" t="str">
        <f aca="false">IF($B79="","",$L78-$K79)</f>
        <v/>
      </c>
      <c r="M79" s="5"/>
    </row>
    <row r="80" customFormat="false" ht="15" hidden="false" customHeight="false" outlineLevel="0" collapsed="false">
      <c r="A80" s="20" t="n">
        <v>74</v>
      </c>
      <c r="B80" s="8"/>
      <c r="C80" s="5"/>
      <c r="D80" s="5"/>
      <c r="E80" s="5"/>
      <c r="F80" s="21" t="str">
        <f aca="false">IF($B80="","",$B80-$B79)</f>
        <v/>
      </c>
      <c r="G80" s="11" t="str">
        <f aca="false">IF($B80="","",IF($C80&lt;&gt;"",$C80,N($D80)+N($E80)))</f>
        <v/>
      </c>
      <c r="H80" s="11" t="str">
        <f aca="false">IF($B80="","",IF($E80&lt;&gt;"",$E80,$L79*Calculator!$B$5*$F80/Calculator!$B$7))</f>
        <v/>
      </c>
      <c r="I80" s="11" t="str">
        <f aca="false">IF($B80="","",$L79*Calculator!$B$6*$F80/Calculator!$B$7)</f>
        <v/>
      </c>
      <c r="J80" s="11" t="str">
        <f aca="false">IF($B80="","",MAX(0,$H80-$I80))</f>
        <v/>
      </c>
      <c r="K80" s="11" t="str">
        <f aca="false">IF($B80="","",IF($D80&lt;&gt;"",$D80,$G80-$H80))</f>
        <v/>
      </c>
      <c r="L80" s="11" t="str">
        <f aca="false">IF($B80="","",$L79-$K80)</f>
        <v/>
      </c>
      <c r="M80" s="5"/>
    </row>
    <row r="81" customFormat="false" ht="15" hidden="false" customHeight="false" outlineLevel="0" collapsed="false">
      <c r="A81" s="20" t="n">
        <v>75</v>
      </c>
      <c r="B81" s="8"/>
      <c r="C81" s="5"/>
      <c r="D81" s="5"/>
      <c r="E81" s="5"/>
      <c r="F81" s="21" t="str">
        <f aca="false">IF($B81="","",$B81-$B80)</f>
        <v/>
      </c>
      <c r="G81" s="11" t="str">
        <f aca="false">IF($B81="","",IF($C81&lt;&gt;"",$C81,N($D81)+N($E81)))</f>
        <v/>
      </c>
      <c r="H81" s="11" t="str">
        <f aca="false">IF($B81="","",IF($E81&lt;&gt;"",$E81,$L80*Calculator!$B$5*$F81/Calculator!$B$7))</f>
        <v/>
      </c>
      <c r="I81" s="11" t="str">
        <f aca="false">IF($B81="","",$L80*Calculator!$B$6*$F81/Calculator!$B$7)</f>
        <v/>
      </c>
      <c r="J81" s="11" t="str">
        <f aca="false">IF($B81="","",MAX(0,$H81-$I81))</f>
        <v/>
      </c>
      <c r="K81" s="11" t="str">
        <f aca="false">IF($B81="","",IF($D81&lt;&gt;"",$D81,$G81-$H81))</f>
        <v/>
      </c>
      <c r="L81" s="11" t="str">
        <f aca="false">IF($B81="","",$L80-$K81)</f>
        <v/>
      </c>
      <c r="M81" s="5"/>
    </row>
    <row r="82" customFormat="false" ht="15" hidden="false" customHeight="false" outlineLevel="0" collapsed="false">
      <c r="A82" s="20" t="n">
        <v>76</v>
      </c>
      <c r="B82" s="8"/>
      <c r="C82" s="5"/>
      <c r="D82" s="5"/>
      <c r="E82" s="5"/>
      <c r="F82" s="21" t="str">
        <f aca="false">IF($B82="","",$B82-$B81)</f>
        <v/>
      </c>
      <c r="G82" s="11" t="str">
        <f aca="false">IF($B82="","",IF($C82&lt;&gt;"",$C82,N($D82)+N($E82)))</f>
        <v/>
      </c>
      <c r="H82" s="11" t="str">
        <f aca="false">IF($B82="","",IF($E82&lt;&gt;"",$E82,$L81*Calculator!$B$5*$F82/Calculator!$B$7))</f>
        <v/>
      </c>
      <c r="I82" s="11" t="str">
        <f aca="false">IF($B82="","",$L81*Calculator!$B$6*$F82/Calculator!$B$7)</f>
        <v/>
      </c>
      <c r="J82" s="11" t="str">
        <f aca="false">IF($B82="","",MAX(0,$H82-$I82))</f>
        <v/>
      </c>
      <c r="K82" s="11" t="str">
        <f aca="false">IF($B82="","",IF($D82&lt;&gt;"",$D82,$G82-$H82))</f>
        <v/>
      </c>
      <c r="L82" s="11" t="str">
        <f aca="false">IF($B82="","",$L81-$K82)</f>
        <v/>
      </c>
      <c r="M82" s="5"/>
    </row>
    <row r="83" customFormat="false" ht="15" hidden="false" customHeight="false" outlineLevel="0" collapsed="false">
      <c r="A83" s="20" t="n">
        <v>77</v>
      </c>
      <c r="B83" s="8"/>
      <c r="C83" s="5"/>
      <c r="D83" s="5"/>
      <c r="E83" s="5"/>
      <c r="F83" s="21" t="str">
        <f aca="false">IF($B83="","",$B83-$B82)</f>
        <v/>
      </c>
      <c r="G83" s="11" t="str">
        <f aca="false">IF($B83="","",IF($C83&lt;&gt;"",$C83,N($D83)+N($E83)))</f>
        <v/>
      </c>
      <c r="H83" s="11" t="str">
        <f aca="false">IF($B83="","",IF($E83&lt;&gt;"",$E83,$L82*Calculator!$B$5*$F83/Calculator!$B$7))</f>
        <v/>
      </c>
      <c r="I83" s="11" t="str">
        <f aca="false">IF($B83="","",$L82*Calculator!$B$6*$F83/Calculator!$B$7)</f>
        <v/>
      </c>
      <c r="J83" s="11" t="str">
        <f aca="false">IF($B83="","",MAX(0,$H83-$I83))</f>
        <v/>
      </c>
      <c r="K83" s="11" t="str">
        <f aca="false">IF($B83="","",IF($D83&lt;&gt;"",$D83,$G83-$H83))</f>
        <v/>
      </c>
      <c r="L83" s="11" t="str">
        <f aca="false">IF($B83="","",$L82-$K83)</f>
        <v/>
      </c>
      <c r="M83" s="5"/>
    </row>
    <row r="84" customFormat="false" ht="15" hidden="false" customHeight="false" outlineLevel="0" collapsed="false">
      <c r="A84" s="20" t="n">
        <v>78</v>
      </c>
      <c r="B84" s="8"/>
      <c r="C84" s="5"/>
      <c r="D84" s="5"/>
      <c r="E84" s="5"/>
      <c r="F84" s="21" t="str">
        <f aca="false">IF($B84="","",$B84-$B83)</f>
        <v/>
      </c>
      <c r="G84" s="11" t="str">
        <f aca="false">IF($B84="","",IF($C84&lt;&gt;"",$C84,N($D84)+N($E84)))</f>
        <v/>
      </c>
      <c r="H84" s="11" t="str">
        <f aca="false">IF($B84="","",IF($E84&lt;&gt;"",$E84,$L83*Calculator!$B$5*$F84/Calculator!$B$7))</f>
        <v/>
      </c>
      <c r="I84" s="11" t="str">
        <f aca="false">IF($B84="","",$L83*Calculator!$B$6*$F84/Calculator!$B$7)</f>
        <v/>
      </c>
      <c r="J84" s="11" t="str">
        <f aca="false">IF($B84="","",MAX(0,$H84-$I84))</f>
        <v/>
      </c>
      <c r="K84" s="11" t="str">
        <f aca="false">IF($B84="","",IF($D84&lt;&gt;"",$D84,$G84-$H84))</f>
        <v/>
      </c>
      <c r="L84" s="11" t="str">
        <f aca="false">IF($B84="","",$L83-$K84)</f>
        <v/>
      </c>
      <c r="M84" s="5"/>
    </row>
    <row r="85" customFormat="false" ht="15" hidden="false" customHeight="false" outlineLevel="0" collapsed="false">
      <c r="A85" s="20" t="n">
        <v>79</v>
      </c>
      <c r="B85" s="8"/>
      <c r="C85" s="5"/>
      <c r="D85" s="5"/>
      <c r="E85" s="5"/>
      <c r="F85" s="21" t="str">
        <f aca="false">IF($B85="","",$B85-$B84)</f>
        <v/>
      </c>
      <c r="G85" s="11" t="str">
        <f aca="false">IF($B85="","",IF($C85&lt;&gt;"",$C85,N($D85)+N($E85)))</f>
        <v/>
      </c>
      <c r="H85" s="11" t="str">
        <f aca="false">IF($B85="","",IF($E85&lt;&gt;"",$E85,$L84*Calculator!$B$5*$F85/Calculator!$B$7))</f>
        <v/>
      </c>
      <c r="I85" s="11" t="str">
        <f aca="false">IF($B85="","",$L84*Calculator!$B$6*$F85/Calculator!$B$7)</f>
        <v/>
      </c>
      <c r="J85" s="11" t="str">
        <f aca="false">IF($B85="","",MAX(0,$H85-$I85))</f>
        <v/>
      </c>
      <c r="K85" s="11" t="str">
        <f aca="false">IF($B85="","",IF($D85&lt;&gt;"",$D85,$G85-$H85))</f>
        <v/>
      </c>
      <c r="L85" s="11" t="str">
        <f aca="false">IF($B85="","",$L84-$K85)</f>
        <v/>
      </c>
      <c r="M85" s="5"/>
    </row>
    <row r="86" customFormat="false" ht="15" hidden="false" customHeight="false" outlineLevel="0" collapsed="false">
      <c r="A86" s="20" t="n">
        <v>80</v>
      </c>
      <c r="B86" s="8"/>
      <c r="C86" s="5"/>
      <c r="D86" s="5"/>
      <c r="E86" s="5"/>
      <c r="F86" s="21" t="str">
        <f aca="false">IF($B86="","",$B86-$B85)</f>
        <v/>
      </c>
      <c r="G86" s="11" t="str">
        <f aca="false">IF($B86="","",IF($C86&lt;&gt;"",$C86,N($D86)+N($E86)))</f>
        <v/>
      </c>
      <c r="H86" s="11" t="str">
        <f aca="false">IF($B86="","",IF($E86&lt;&gt;"",$E86,$L85*Calculator!$B$5*$F86/Calculator!$B$7))</f>
        <v/>
      </c>
      <c r="I86" s="11" t="str">
        <f aca="false">IF($B86="","",$L85*Calculator!$B$6*$F86/Calculator!$B$7)</f>
        <v/>
      </c>
      <c r="J86" s="11" t="str">
        <f aca="false">IF($B86="","",MAX(0,$H86-$I86))</f>
        <v/>
      </c>
      <c r="K86" s="11" t="str">
        <f aca="false">IF($B86="","",IF($D86&lt;&gt;"",$D86,$G86-$H86))</f>
        <v/>
      </c>
      <c r="L86" s="11" t="str">
        <f aca="false">IF($B86="","",$L85-$K86)</f>
        <v/>
      </c>
      <c r="M86" s="5"/>
    </row>
    <row r="87" customFormat="false" ht="15" hidden="false" customHeight="false" outlineLevel="0" collapsed="false">
      <c r="A87" s="20" t="n">
        <v>81</v>
      </c>
      <c r="B87" s="8"/>
      <c r="C87" s="5"/>
      <c r="D87" s="5"/>
      <c r="E87" s="5"/>
      <c r="F87" s="21" t="str">
        <f aca="false">IF($B87="","",$B87-$B86)</f>
        <v/>
      </c>
      <c r="G87" s="11" t="str">
        <f aca="false">IF($B87="","",IF($C87&lt;&gt;"",$C87,N($D87)+N($E87)))</f>
        <v/>
      </c>
      <c r="H87" s="11" t="str">
        <f aca="false">IF($B87="","",IF($E87&lt;&gt;"",$E87,$L86*Calculator!$B$5*$F87/Calculator!$B$7))</f>
        <v/>
      </c>
      <c r="I87" s="11" t="str">
        <f aca="false">IF($B87="","",$L86*Calculator!$B$6*$F87/Calculator!$B$7)</f>
        <v/>
      </c>
      <c r="J87" s="11" t="str">
        <f aca="false">IF($B87="","",MAX(0,$H87-$I87))</f>
        <v/>
      </c>
      <c r="K87" s="11" t="str">
        <f aca="false">IF($B87="","",IF($D87&lt;&gt;"",$D87,$G87-$H87))</f>
        <v/>
      </c>
      <c r="L87" s="11" t="str">
        <f aca="false">IF($B87="","",$L86-$K87)</f>
        <v/>
      </c>
      <c r="M87" s="5"/>
    </row>
    <row r="88" customFormat="false" ht="15" hidden="false" customHeight="false" outlineLevel="0" collapsed="false">
      <c r="A88" s="20" t="n">
        <v>82</v>
      </c>
      <c r="B88" s="8"/>
      <c r="C88" s="5"/>
      <c r="D88" s="5"/>
      <c r="E88" s="5"/>
      <c r="F88" s="21" t="str">
        <f aca="false">IF($B88="","",$B88-$B87)</f>
        <v/>
      </c>
      <c r="G88" s="11" t="str">
        <f aca="false">IF($B88="","",IF($C88&lt;&gt;"",$C88,N($D88)+N($E88)))</f>
        <v/>
      </c>
      <c r="H88" s="11" t="str">
        <f aca="false">IF($B88="","",IF($E88&lt;&gt;"",$E88,$L87*Calculator!$B$5*$F88/Calculator!$B$7))</f>
        <v/>
      </c>
      <c r="I88" s="11" t="str">
        <f aca="false">IF($B88="","",$L87*Calculator!$B$6*$F88/Calculator!$B$7)</f>
        <v/>
      </c>
      <c r="J88" s="11" t="str">
        <f aca="false">IF($B88="","",MAX(0,$H88-$I88))</f>
        <v/>
      </c>
      <c r="K88" s="11" t="str">
        <f aca="false">IF($B88="","",IF($D88&lt;&gt;"",$D88,$G88-$H88))</f>
        <v/>
      </c>
      <c r="L88" s="11" t="str">
        <f aca="false">IF($B88="","",$L87-$K88)</f>
        <v/>
      </c>
      <c r="M88" s="5"/>
    </row>
    <row r="89" customFormat="false" ht="15" hidden="false" customHeight="false" outlineLevel="0" collapsed="false">
      <c r="A89" s="20" t="n">
        <v>83</v>
      </c>
      <c r="B89" s="8"/>
      <c r="C89" s="5"/>
      <c r="D89" s="5"/>
      <c r="E89" s="5"/>
      <c r="F89" s="21" t="str">
        <f aca="false">IF($B89="","",$B89-$B88)</f>
        <v/>
      </c>
      <c r="G89" s="11" t="str">
        <f aca="false">IF($B89="","",IF($C89&lt;&gt;"",$C89,N($D89)+N($E89)))</f>
        <v/>
      </c>
      <c r="H89" s="11" t="str">
        <f aca="false">IF($B89="","",IF($E89&lt;&gt;"",$E89,$L88*Calculator!$B$5*$F89/Calculator!$B$7))</f>
        <v/>
      </c>
      <c r="I89" s="11" t="str">
        <f aca="false">IF($B89="","",$L88*Calculator!$B$6*$F89/Calculator!$B$7)</f>
        <v/>
      </c>
      <c r="J89" s="11" t="str">
        <f aca="false">IF($B89="","",MAX(0,$H89-$I89))</f>
        <v/>
      </c>
      <c r="K89" s="11" t="str">
        <f aca="false">IF($B89="","",IF($D89&lt;&gt;"",$D89,$G89-$H89))</f>
        <v/>
      </c>
      <c r="L89" s="11" t="str">
        <f aca="false">IF($B89="","",$L88-$K89)</f>
        <v/>
      </c>
      <c r="M89" s="5"/>
    </row>
    <row r="90" customFormat="false" ht="15" hidden="false" customHeight="false" outlineLevel="0" collapsed="false">
      <c r="A90" s="20" t="n">
        <v>84</v>
      </c>
      <c r="B90" s="8"/>
      <c r="C90" s="5"/>
      <c r="D90" s="5"/>
      <c r="E90" s="5"/>
      <c r="F90" s="21" t="str">
        <f aca="false">IF($B90="","",$B90-$B89)</f>
        <v/>
      </c>
      <c r="G90" s="11" t="str">
        <f aca="false">IF($B90="","",IF($C90&lt;&gt;"",$C90,N($D90)+N($E90)))</f>
        <v/>
      </c>
      <c r="H90" s="11" t="str">
        <f aca="false">IF($B90="","",IF($E90&lt;&gt;"",$E90,$L89*Calculator!$B$5*$F90/Calculator!$B$7))</f>
        <v/>
      </c>
      <c r="I90" s="11" t="str">
        <f aca="false">IF($B90="","",$L89*Calculator!$B$6*$F90/Calculator!$B$7)</f>
        <v/>
      </c>
      <c r="J90" s="11" t="str">
        <f aca="false">IF($B90="","",MAX(0,$H90-$I90))</f>
        <v/>
      </c>
      <c r="K90" s="11" t="str">
        <f aca="false">IF($B90="","",IF($D90&lt;&gt;"",$D90,$G90-$H90))</f>
        <v/>
      </c>
      <c r="L90" s="11" t="str">
        <f aca="false">IF($B90="","",$L89-$K90)</f>
        <v/>
      </c>
      <c r="M90" s="5"/>
    </row>
    <row r="91" customFormat="false" ht="15" hidden="false" customHeight="false" outlineLevel="0" collapsed="false">
      <c r="A91" s="20" t="n">
        <v>85</v>
      </c>
      <c r="B91" s="8"/>
      <c r="C91" s="5"/>
      <c r="D91" s="5"/>
      <c r="E91" s="5"/>
      <c r="F91" s="21" t="str">
        <f aca="false">IF($B91="","",$B91-$B90)</f>
        <v/>
      </c>
      <c r="G91" s="11" t="str">
        <f aca="false">IF($B91="","",IF($C91&lt;&gt;"",$C91,N($D91)+N($E91)))</f>
        <v/>
      </c>
      <c r="H91" s="11" t="str">
        <f aca="false">IF($B91="","",IF($E91&lt;&gt;"",$E91,$L90*Calculator!$B$5*$F91/Calculator!$B$7))</f>
        <v/>
      </c>
      <c r="I91" s="11" t="str">
        <f aca="false">IF($B91="","",$L90*Calculator!$B$6*$F91/Calculator!$B$7)</f>
        <v/>
      </c>
      <c r="J91" s="11" t="str">
        <f aca="false">IF($B91="","",MAX(0,$H91-$I91))</f>
        <v/>
      </c>
      <c r="K91" s="11" t="str">
        <f aca="false">IF($B91="","",IF($D91&lt;&gt;"",$D91,$G91-$H91))</f>
        <v/>
      </c>
      <c r="L91" s="11" t="str">
        <f aca="false">IF($B91="","",$L90-$K91)</f>
        <v/>
      </c>
      <c r="M91" s="5"/>
    </row>
    <row r="92" customFormat="false" ht="15" hidden="false" customHeight="false" outlineLevel="0" collapsed="false">
      <c r="A92" s="20" t="n">
        <v>86</v>
      </c>
      <c r="B92" s="8"/>
      <c r="C92" s="5"/>
      <c r="D92" s="5"/>
      <c r="E92" s="5"/>
      <c r="F92" s="21" t="str">
        <f aca="false">IF($B92="","",$B92-$B91)</f>
        <v/>
      </c>
      <c r="G92" s="11" t="str">
        <f aca="false">IF($B92="","",IF($C92&lt;&gt;"",$C92,N($D92)+N($E92)))</f>
        <v/>
      </c>
      <c r="H92" s="11" t="str">
        <f aca="false">IF($B92="","",IF($E92&lt;&gt;"",$E92,$L91*Calculator!$B$5*$F92/Calculator!$B$7))</f>
        <v/>
      </c>
      <c r="I92" s="11" t="str">
        <f aca="false">IF($B92="","",$L91*Calculator!$B$6*$F92/Calculator!$B$7)</f>
        <v/>
      </c>
      <c r="J92" s="11" t="str">
        <f aca="false">IF($B92="","",MAX(0,$H92-$I92))</f>
        <v/>
      </c>
      <c r="K92" s="11" t="str">
        <f aca="false">IF($B92="","",IF($D92&lt;&gt;"",$D92,$G92-$H92))</f>
        <v/>
      </c>
      <c r="L92" s="11" t="str">
        <f aca="false">IF($B92="","",$L91-$K92)</f>
        <v/>
      </c>
      <c r="M92" s="5"/>
    </row>
    <row r="93" customFormat="false" ht="15" hidden="false" customHeight="false" outlineLevel="0" collapsed="false">
      <c r="A93" s="20" t="n">
        <v>87</v>
      </c>
      <c r="B93" s="8"/>
      <c r="C93" s="5"/>
      <c r="D93" s="5"/>
      <c r="E93" s="5"/>
      <c r="F93" s="21" t="str">
        <f aca="false">IF($B93="","",$B93-$B92)</f>
        <v/>
      </c>
      <c r="G93" s="11" t="str">
        <f aca="false">IF($B93="","",IF($C93&lt;&gt;"",$C93,N($D93)+N($E93)))</f>
        <v/>
      </c>
      <c r="H93" s="11" t="str">
        <f aca="false">IF($B93="","",IF($E93&lt;&gt;"",$E93,$L92*Calculator!$B$5*$F93/Calculator!$B$7))</f>
        <v/>
      </c>
      <c r="I93" s="11" t="str">
        <f aca="false">IF($B93="","",$L92*Calculator!$B$6*$F93/Calculator!$B$7)</f>
        <v/>
      </c>
      <c r="J93" s="11" t="str">
        <f aca="false">IF($B93="","",MAX(0,$H93-$I93))</f>
        <v/>
      </c>
      <c r="K93" s="11" t="str">
        <f aca="false">IF($B93="","",IF($D93&lt;&gt;"",$D93,$G93-$H93))</f>
        <v/>
      </c>
      <c r="L93" s="11" t="str">
        <f aca="false">IF($B93="","",$L92-$K93)</f>
        <v/>
      </c>
      <c r="M93" s="5"/>
    </row>
    <row r="94" customFormat="false" ht="15" hidden="false" customHeight="false" outlineLevel="0" collapsed="false">
      <c r="A94" s="20" t="n">
        <v>88</v>
      </c>
      <c r="B94" s="8"/>
      <c r="C94" s="5"/>
      <c r="D94" s="5"/>
      <c r="E94" s="5"/>
      <c r="F94" s="21" t="str">
        <f aca="false">IF($B94="","",$B94-$B93)</f>
        <v/>
      </c>
      <c r="G94" s="11" t="str">
        <f aca="false">IF($B94="","",IF($C94&lt;&gt;"",$C94,N($D94)+N($E94)))</f>
        <v/>
      </c>
      <c r="H94" s="11" t="str">
        <f aca="false">IF($B94="","",IF($E94&lt;&gt;"",$E94,$L93*Calculator!$B$5*$F94/Calculator!$B$7))</f>
        <v/>
      </c>
      <c r="I94" s="11" t="str">
        <f aca="false">IF($B94="","",$L93*Calculator!$B$6*$F94/Calculator!$B$7)</f>
        <v/>
      </c>
      <c r="J94" s="11" t="str">
        <f aca="false">IF($B94="","",MAX(0,$H94-$I94))</f>
        <v/>
      </c>
      <c r="K94" s="11" t="str">
        <f aca="false">IF($B94="","",IF($D94&lt;&gt;"",$D94,$G94-$H94))</f>
        <v/>
      </c>
      <c r="L94" s="11" t="str">
        <f aca="false">IF($B94="","",$L93-$K94)</f>
        <v/>
      </c>
      <c r="M94" s="5"/>
    </row>
    <row r="95" customFormat="false" ht="15" hidden="false" customHeight="false" outlineLevel="0" collapsed="false">
      <c r="A95" s="20" t="n">
        <v>89</v>
      </c>
      <c r="B95" s="8"/>
      <c r="C95" s="5"/>
      <c r="D95" s="5"/>
      <c r="E95" s="5"/>
      <c r="F95" s="21" t="str">
        <f aca="false">IF($B95="","",$B95-$B94)</f>
        <v/>
      </c>
      <c r="G95" s="11" t="str">
        <f aca="false">IF($B95="","",IF($C95&lt;&gt;"",$C95,N($D95)+N($E95)))</f>
        <v/>
      </c>
      <c r="H95" s="11" t="str">
        <f aca="false">IF($B95="","",IF($E95&lt;&gt;"",$E95,$L94*Calculator!$B$5*$F95/Calculator!$B$7))</f>
        <v/>
      </c>
      <c r="I95" s="11" t="str">
        <f aca="false">IF($B95="","",$L94*Calculator!$B$6*$F95/Calculator!$B$7)</f>
        <v/>
      </c>
      <c r="J95" s="11" t="str">
        <f aca="false">IF($B95="","",MAX(0,$H95-$I95))</f>
        <v/>
      </c>
      <c r="K95" s="11" t="str">
        <f aca="false">IF($B95="","",IF($D95&lt;&gt;"",$D95,$G95-$H95))</f>
        <v/>
      </c>
      <c r="L95" s="11" t="str">
        <f aca="false">IF($B95="","",$L94-$K95)</f>
        <v/>
      </c>
      <c r="M95" s="5"/>
    </row>
    <row r="96" customFormat="false" ht="15" hidden="false" customHeight="false" outlineLevel="0" collapsed="false">
      <c r="A96" s="20" t="n">
        <v>90</v>
      </c>
      <c r="B96" s="8"/>
      <c r="C96" s="5"/>
      <c r="D96" s="5"/>
      <c r="E96" s="5"/>
      <c r="F96" s="21" t="str">
        <f aca="false">IF($B96="","",$B96-$B95)</f>
        <v/>
      </c>
      <c r="G96" s="11" t="str">
        <f aca="false">IF($B96="","",IF($C96&lt;&gt;"",$C96,N($D96)+N($E96)))</f>
        <v/>
      </c>
      <c r="H96" s="11" t="str">
        <f aca="false">IF($B96="","",IF($E96&lt;&gt;"",$E96,$L95*Calculator!$B$5*$F96/Calculator!$B$7))</f>
        <v/>
      </c>
      <c r="I96" s="11" t="str">
        <f aca="false">IF($B96="","",$L95*Calculator!$B$6*$F96/Calculator!$B$7)</f>
        <v/>
      </c>
      <c r="J96" s="11" t="str">
        <f aca="false">IF($B96="","",MAX(0,$H96-$I96))</f>
        <v/>
      </c>
      <c r="K96" s="11" t="str">
        <f aca="false">IF($B96="","",IF($D96&lt;&gt;"",$D96,$G96-$H96))</f>
        <v/>
      </c>
      <c r="L96" s="11" t="str">
        <f aca="false">IF($B96="","",$L95-$K96)</f>
        <v/>
      </c>
      <c r="M96" s="5"/>
    </row>
    <row r="97" customFormat="false" ht="15" hidden="false" customHeight="false" outlineLevel="0" collapsed="false">
      <c r="A97" s="20" t="n">
        <v>91</v>
      </c>
      <c r="B97" s="8"/>
      <c r="C97" s="5"/>
      <c r="D97" s="5"/>
      <c r="E97" s="5"/>
      <c r="F97" s="21" t="str">
        <f aca="false">IF($B97="","",$B97-$B96)</f>
        <v/>
      </c>
      <c r="G97" s="11" t="str">
        <f aca="false">IF($B97="","",IF($C97&lt;&gt;"",$C97,N($D97)+N($E97)))</f>
        <v/>
      </c>
      <c r="H97" s="11" t="str">
        <f aca="false">IF($B97="","",IF($E97&lt;&gt;"",$E97,$L96*Calculator!$B$5*$F97/Calculator!$B$7))</f>
        <v/>
      </c>
      <c r="I97" s="11" t="str">
        <f aca="false">IF($B97="","",$L96*Calculator!$B$6*$F97/Calculator!$B$7)</f>
        <v/>
      </c>
      <c r="J97" s="11" t="str">
        <f aca="false">IF($B97="","",MAX(0,$H97-$I97))</f>
        <v/>
      </c>
      <c r="K97" s="11" t="str">
        <f aca="false">IF($B97="","",IF($D97&lt;&gt;"",$D97,$G97-$H97))</f>
        <v/>
      </c>
      <c r="L97" s="11" t="str">
        <f aca="false">IF($B97="","",$L96-$K97)</f>
        <v/>
      </c>
      <c r="M97" s="5"/>
    </row>
    <row r="98" customFormat="false" ht="15" hidden="false" customHeight="false" outlineLevel="0" collapsed="false">
      <c r="A98" s="20" t="n">
        <v>92</v>
      </c>
      <c r="B98" s="8"/>
      <c r="C98" s="5"/>
      <c r="D98" s="5"/>
      <c r="E98" s="5"/>
      <c r="F98" s="21" t="str">
        <f aca="false">IF($B98="","",$B98-$B97)</f>
        <v/>
      </c>
      <c r="G98" s="11" t="str">
        <f aca="false">IF($B98="","",IF($C98&lt;&gt;"",$C98,N($D98)+N($E98)))</f>
        <v/>
      </c>
      <c r="H98" s="11" t="str">
        <f aca="false">IF($B98="","",IF($E98&lt;&gt;"",$E98,$L97*Calculator!$B$5*$F98/Calculator!$B$7))</f>
        <v/>
      </c>
      <c r="I98" s="11" t="str">
        <f aca="false">IF($B98="","",$L97*Calculator!$B$6*$F98/Calculator!$B$7)</f>
        <v/>
      </c>
      <c r="J98" s="11" t="str">
        <f aca="false">IF($B98="","",MAX(0,$H98-$I98))</f>
        <v/>
      </c>
      <c r="K98" s="11" t="str">
        <f aca="false">IF($B98="","",IF($D98&lt;&gt;"",$D98,$G98-$H98))</f>
        <v/>
      </c>
      <c r="L98" s="11" t="str">
        <f aca="false">IF($B98="","",$L97-$K98)</f>
        <v/>
      </c>
      <c r="M98" s="5"/>
    </row>
    <row r="99" customFormat="false" ht="15" hidden="false" customHeight="false" outlineLevel="0" collapsed="false">
      <c r="A99" s="20" t="n">
        <v>93</v>
      </c>
      <c r="B99" s="8"/>
      <c r="C99" s="5"/>
      <c r="D99" s="5"/>
      <c r="E99" s="5"/>
      <c r="F99" s="21" t="str">
        <f aca="false">IF($B99="","",$B99-$B98)</f>
        <v/>
      </c>
      <c r="G99" s="11" t="str">
        <f aca="false">IF($B99="","",IF($C99&lt;&gt;"",$C99,N($D99)+N($E99)))</f>
        <v/>
      </c>
      <c r="H99" s="11" t="str">
        <f aca="false">IF($B99="","",IF($E99&lt;&gt;"",$E99,$L98*Calculator!$B$5*$F99/Calculator!$B$7))</f>
        <v/>
      </c>
      <c r="I99" s="11" t="str">
        <f aca="false">IF($B99="","",$L98*Calculator!$B$6*$F99/Calculator!$B$7)</f>
        <v/>
      </c>
      <c r="J99" s="11" t="str">
        <f aca="false">IF($B99="","",MAX(0,$H99-$I99))</f>
        <v/>
      </c>
      <c r="K99" s="11" t="str">
        <f aca="false">IF($B99="","",IF($D99&lt;&gt;"",$D99,$G99-$H99))</f>
        <v/>
      </c>
      <c r="L99" s="11" t="str">
        <f aca="false">IF($B99="","",$L98-$K99)</f>
        <v/>
      </c>
      <c r="M99" s="5"/>
    </row>
    <row r="100" customFormat="false" ht="15" hidden="false" customHeight="false" outlineLevel="0" collapsed="false">
      <c r="A100" s="20" t="n">
        <v>94</v>
      </c>
      <c r="B100" s="8"/>
      <c r="C100" s="5"/>
      <c r="D100" s="5"/>
      <c r="E100" s="5"/>
      <c r="F100" s="21" t="str">
        <f aca="false">IF($B100="","",$B100-$B99)</f>
        <v/>
      </c>
      <c r="G100" s="11" t="str">
        <f aca="false">IF($B100="","",IF($C100&lt;&gt;"",$C100,N($D100)+N($E100)))</f>
        <v/>
      </c>
      <c r="H100" s="11" t="str">
        <f aca="false">IF($B100="","",IF($E100&lt;&gt;"",$E100,$L99*Calculator!$B$5*$F100/Calculator!$B$7))</f>
        <v/>
      </c>
      <c r="I100" s="11" t="str">
        <f aca="false">IF($B100="","",$L99*Calculator!$B$6*$F100/Calculator!$B$7)</f>
        <v/>
      </c>
      <c r="J100" s="11" t="str">
        <f aca="false">IF($B100="","",MAX(0,$H100-$I100))</f>
        <v/>
      </c>
      <c r="K100" s="11" t="str">
        <f aca="false">IF($B100="","",IF($D100&lt;&gt;"",$D100,$G100-$H100))</f>
        <v/>
      </c>
      <c r="L100" s="11" t="str">
        <f aca="false">IF($B100="","",$L99-$K100)</f>
        <v/>
      </c>
      <c r="M100" s="5"/>
    </row>
    <row r="101" customFormat="false" ht="15" hidden="false" customHeight="false" outlineLevel="0" collapsed="false">
      <c r="A101" s="20" t="n">
        <v>95</v>
      </c>
      <c r="B101" s="8"/>
      <c r="C101" s="5"/>
      <c r="D101" s="5"/>
      <c r="E101" s="5"/>
      <c r="F101" s="21" t="str">
        <f aca="false">IF($B101="","",$B101-$B100)</f>
        <v/>
      </c>
      <c r="G101" s="11" t="str">
        <f aca="false">IF($B101="","",IF($C101&lt;&gt;"",$C101,N($D101)+N($E101)))</f>
        <v/>
      </c>
      <c r="H101" s="11" t="str">
        <f aca="false">IF($B101="","",IF($E101&lt;&gt;"",$E101,$L100*Calculator!$B$5*$F101/Calculator!$B$7))</f>
        <v/>
      </c>
      <c r="I101" s="11" t="str">
        <f aca="false">IF($B101="","",$L100*Calculator!$B$6*$F101/Calculator!$B$7)</f>
        <v/>
      </c>
      <c r="J101" s="11" t="str">
        <f aca="false">IF($B101="","",MAX(0,$H101-$I101))</f>
        <v/>
      </c>
      <c r="K101" s="11" t="str">
        <f aca="false">IF($B101="","",IF($D101&lt;&gt;"",$D101,$G101-$H101))</f>
        <v/>
      </c>
      <c r="L101" s="11" t="str">
        <f aca="false">IF($B101="","",$L100-$K101)</f>
        <v/>
      </c>
      <c r="M101" s="5"/>
    </row>
    <row r="102" customFormat="false" ht="15" hidden="false" customHeight="false" outlineLevel="0" collapsed="false">
      <c r="A102" s="20" t="n">
        <v>96</v>
      </c>
      <c r="B102" s="8"/>
      <c r="C102" s="5"/>
      <c r="D102" s="5"/>
      <c r="E102" s="5"/>
      <c r="F102" s="21" t="str">
        <f aca="false">IF($B102="","",$B102-$B101)</f>
        <v/>
      </c>
      <c r="G102" s="11" t="str">
        <f aca="false">IF($B102="","",IF($C102&lt;&gt;"",$C102,N($D102)+N($E102)))</f>
        <v/>
      </c>
      <c r="H102" s="11" t="str">
        <f aca="false">IF($B102="","",IF($E102&lt;&gt;"",$E102,$L101*Calculator!$B$5*$F102/Calculator!$B$7))</f>
        <v/>
      </c>
      <c r="I102" s="11" t="str">
        <f aca="false">IF($B102="","",$L101*Calculator!$B$6*$F102/Calculator!$B$7)</f>
        <v/>
      </c>
      <c r="J102" s="11" t="str">
        <f aca="false">IF($B102="","",MAX(0,$H102-$I102))</f>
        <v/>
      </c>
      <c r="K102" s="11" t="str">
        <f aca="false">IF($B102="","",IF($D102&lt;&gt;"",$D102,$G102-$H102))</f>
        <v/>
      </c>
      <c r="L102" s="11" t="str">
        <f aca="false">IF($B102="","",$L101-$K102)</f>
        <v/>
      </c>
      <c r="M102" s="5"/>
    </row>
    <row r="103" customFormat="false" ht="15" hidden="false" customHeight="false" outlineLevel="0" collapsed="false">
      <c r="A103" s="20" t="n">
        <v>97</v>
      </c>
      <c r="B103" s="8"/>
      <c r="C103" s="5"/>
      <c r="D103" s="5"/>
      <c r="E103" s="5"/>
      <c r="F103" s="21" t="str">
        <f aca="false">IF($B103="","",$B103-$B102)</f>
        <v/>
      </c>
      <c r="G103" s="11" t="str">
        <f aca="false">IF($B103="","",IF($C103&lt;&gt;"",$C103,N($D103)+N($E103)))</f>
        <v/>
      </c>
      <c r="H103" s="11" t="str">
        <f aca="false">IF($B103="","",IF($E103&lt;&gt;"",$E103,$L102*Calculator!$B$5*$F103/Calculator!$B$7))</f>
        <v/>
      </c>
      <c r="I103" s="11" t="str">
        <f aca="false">IF($B103="","",$L102*Calculator!$B$6*$F103/Calculator!$B$7)</f>
        <v/>
      </c>
      <c r="J103" s="11" t="str">
        <f aca="false">IF($B103="","",MAX(0,$H103-$I103))</f>
        <v/>
      </c>
      <c r="K103" s="11" t="str">
        <f aca="false">IF($B103="","",IF($D103&lt;&gt;"",$D103,$G103-$H103))</f>
        <v/>
      </c>
      <c r="L103" s="11" t="str">
        <f aca="false">IF($B103="","",$L102-$K103)</f>
        <v/>
      </c>
      <c r="M103" s="5"/>
    </row>
    <row r="104" customFormat="false" ht="15" hidden="false" customHeight="false" outlineLevel="0" collapsed="false">
      <c r="A104" s="20" t="n">
        <v>98</v>
      </c>
      <c r="B104" s="8"/>
      <c r="C104" s="5"/>
      <c r="D104" s="5"/>
      <c r="E104" s="5"/>
      <c r="F104" s="21" t="str">
        <f aca="false">IF($B104="","",$B104-$B103)</f>
        <v/>
      </c>
      <c r="G104" s="11" t="str">
        <f aca="false">IF($B104="","",IF($C104&lt;&gt;"",$C104,N($D104)+N($E104)))</f>
        <v/>
      </c>
      <c r="H104" s="11" t="str">
        <f aca="false">IF($B104="","",IF($E104&lt;&gt;"",$E104,$L103*Calculator!$B$5*$F104/Calculator!$B$7))</f>
        <v/>
      </c>
      <c r="I104" s="11" t="str">
        <f aca="false">IF($B104="","",$L103*Calculator!$B$6*$F104/Calculator!$B$7)</f>
        <v/>
      </c>
      <c r="J104" s="11" t="str">
        <f aca="false">IF($B104="","",MAX(0,$H104-$I104))</f>
        <v/>
      </c>
      <c r="K104" s="11" t="str">
        <f aca="false">IF($B104="","",IF($D104&lt;&gt;"",$D104,$G104-$H104))</f>
        <v/>
      </c>
      <c r="L104" s="11" t="str">
        <f aca="false">IF($B104="","",$L103-$K104)</f>
        <v/>
      </c>
      <c r="M104" s="5"/>
    </row>
    <row r="105" customFormat="false" ht="15" hidden="false" customHeight="false" outlineLevel="0" collapsed="false">
      <c r="A105" s="20" t="n">
        <v>99</v>
      </c>
      <c r="B105" s="8"/>
      <c r="C105" s="5"/>
      <c r="D105" s="5"/>
      <c r="E105" s="5"/>
      <c r="F105" s="21" t="str">
        <f aca="false">IF($B105="","",$B105-$B104)</f>
        <v/>
      </c>
      <c r="G105" s="11" t="str">
        <f aca="false">IF($B105="","",IF($C105&lt;&gt;"",$C105,N($D105)+N($E105)))</f>
        <v/>
      </c>
      <c r="H105" s="11" t="str">
        <f aca="false">IF($B105="","",IF($E105&lt;&gt;"",$E105,$L104*Calculator!$B$5*$F105/Calculator!$B$7))</f>
        <v/>
      </c>
      <c r="I105" s="11" t="str">
        <f aca="false">IF($B105="","",$L104*Calculator!$B$6*$F105/Calculator!$B$7)</f>
        <v/>
      </c>
      <c r="J105" s="11" t="str">
        <f aca="false">IF($B105="","",MAX(0,$H105-$I105))</f>
        <v/>
      </c>
      <c r="K105" s="11" t="str">
        <f aca="false">IF($B105="","",IF($D105&lt;&gt;"",$D105,$G105-$H105))</f>
        <v/>
      </c>
      <c r="L105" s="11" t="str">
        <f aca="false">IF($B105="","",$L104-$K105)</f>
        <v/>
      </c>
      <c r="M105" s="5"/>
    </row>
    <row r="106" customFormat="false" ht="15" hidden="false" customHeight="false" outlineLevel="0" collapsed="false">
      <c r="A106" s="20" t="n">
        <v>100</v>
      </c>
      <c r="B106" s="8"/>
      <c r="C106" s="5"/>
      <c r="D106" s="5"/>
      <c r="E106" s="5"/>
      <c r="F106" s="21" t="str">
        <f aca="false">IF($B106="","",$B106-$B105)</f>
        <v/>
      </c>
      <c r="G106" s="11" t="str">
        <f aca="false">IF($B106="","",IF($C106&lt;&gt;"",$C106,N($D106)+N($E106)))</f>
        <v/>
      </c>
      <c r="H106" s="11" t="str">
        <f aca="false">IF($B106="","",IF($E106&lt;&gt;"",$E106,$L105*Calculator!$B$5*$F106/Calculator!$B$7))</f>
        <v/>
      </c>
      <c r="I106" s="11" t="str">
        <f aca="false">IF($B106="","",$L105*Calculator!$B$6*$F106/Calculator!$B$7)</f>
        <v/>
      </c>
      <c r="J106" s="11" t="str">
        <f aca="false">IF($B106="","",MAX(0,$H106-$I106))</f>
        <v/>
      </c>
      <c r="K106" s="11" t="str">
        <f aca="false">IF($B106="","",IF($D106&lt;&gt;"",$D106,$G106-$H106))</f>
        <v/>
      </c>
      <c r="L106" s="11" t="str">
        <f aca="false">IF($B106="","",$L105-$K106)</f>
        <v/>
      </c>
      <c r="M106" s="5"/>
    </row>
    <row r="107" customFormat="false" ht="15" hidden="false" customHeight="false" outlineLevel="0" collapsed="false">
      <c r="A107" s="20" t="n">
        <v>101</v>
      </c>
      <c r="B107" s="8"/>
      <c r="C107" s="5"/>
      <c r="D107" s="5"/>
      <c r="E107" s="5"/>
      <c r="F107" s="21" t="str">
        <f aca="false">IF($B107="","",$B107-$B106)</f>
        <v/>
      </c>
      <c r="G107" s="11" t="str">
        <f aca="false">IF($B107="","",IF($C107&lt;&gt;"",$C107,N($D107)+N($E107)))</f>
        <v/>
      </c>
      <c r="H107" s="11" t="str">
        <f aca="false">IF($B107="","",IF($E107&lt;&gt;"",$E107,$L106*Calculator!$B$5*$F107/Calculator!$B$7))</f>
        <v/>
      </c>
      <c r="I107" s="11" t="str">
        <f aca="false">IF($B107="","",$L106*Calculator!$B$6*$F107/Calculator!$B$7)</f>
        <v/>
      </c>
      <c r="J107" s="11" t="str">
        <f aca="false">IF($B107="","",MAX(0,$H107-$I107))</f>
        <v/>
      </c>
      <c r="K107" s="11" t="str">
        <f aca="false">IF($B107="","",IF($D107&lt;&gt;"",$D107,$G107-$H107))</f>
        <v/>
      </c>
      <c r="L107" s="11" t="str">
        <f aca="false">IF($B107="","",$L106-$K107)</f>
        <v/>
      </c>
      <c r="M107" s="5"/>
    </row>
    <row r="108" customFormat="false" ht="15" hidden="false" customHeight="false" outlineLevel="0" collapsed="false">
      <c r="A108" s="20" t="n">
        <v>102</v>
      </c>
      <c r="B108" s="8"/>
      <c r="C108" s="5"/>
      <c r="D108" s="5"/>
      <c r="E108" s="5"/>
      <c r="F108" s="21" t="str">
        <f aca="false">IF($B108="","",$B108-$B107)</f>
        <v/>
      </c>
      <c r="G108" s="11" t="str">
        <f aca="false">IF($B108="","",IF($C108&lt;&gt;"",$C108,N($D108)+N($E108)))</f>
        <v/>
      </c>
      <c r="H108" s="11" t="str">
        <f aca="false">IF($B108="","",IF($E108&lt;&gt;"",$E108,$L107*Calculator!$B$5*$F108/Calculator!$B$7))</f>
        <v/>
      </c>
      <c r="I108" s="11" t="str">
        <f aca="false">IF($B108="","",$L107*Calculator!$B$6*$F108/Calculator!$B$7)</f>
        <v/>
      </c>
      <c r="J108" s="11" t="str">
        <f aca="false">IF($B108="","",MAX(0,$H108-$I108))</f>
        <v/>
      </c>
      <c r="K108" s="11" t="str">
        <f aca="false">IF($B108="","",IF($D108&lt;&gt;"",$D108,$G108-$H108))</f>
        <v/>
      </c>
      <c r="L108" s="11" t="str">
        <f aca="false">IF($B108="","",$L107-$K108)</f>
        <v/>
      </c>
      <c r="M108" s="5"/>
    </row>
    <row r="109" customFormat="false" ht="15" hidden="false" customHeight="false" outlineLevel="0" collapsed="false">
      <c r="A109" s="20" t="n">
        <v>103</v>
      </c>
      <c r="B109" s="8"/>
      <c r="C109" s="5"/>
      <c r="D109" s="5"/>
      <c r="E109" s="5"/>
      <c r="F109" s="21" t="str">
        <f aca="false">IF($B109="","",$B109-$B108)</f>
        <v/>
      </c>
      <c r="G109" s="11" t="str">
        <f aca="false">IF($B109="","",IF($C109&lt;&gt;"",$C109,N($D109)+N($E109)))</f>
        <v/>
      </c>
      <c r="H109" s="11" t="str">
        <f aca="false">IF($B109="","",IF($E109&lt;&gt;"",$E109,$L108*Calculator!$B$5*$F109/Calculator!$B$7))</f>
        <v/>
      </c>
      <c r="I109" s="11" t="str">
        <f aca="false">IF($B109="","",$L108*Calculator!$B$6*$F109/Calculator!$B$7)</f>
        <v/>
      </c>
      <c r="J109" s="11" t="str">
        <f aca="false">IF($B109="","",MAX(0,$H109-$I109))</f>
        <v/>
      </c>
      <c r="K109" s="11" t="str">
        <f aca="false">IF($B109="","",IF($D109&lt;&gt;"",$D109,$G109-$H109))</f>
        <v/>
      </c>
      <c r="L109" s="11" t="str">
        <f aca="false">IF($B109="","",$L108-$K109)</f>
        <v/>
      </c>
      <c r="M109" s="5"/>
    </row>
    <row r="110" customFormat="false" ht="15" hidden="false" customHeight="false" outlineLevel="0" collapsed="false">
      <c r="A110" s="20" t="n">
        <v>104</v>
      </c>
      <c r="B110" s="8"/>
      <c r="C110" s="5"/>
      <c r="D110" s="5"/>
      <c r="E110" s="5"/>
      <c r="F110" s="21" t="str">
        <f aca="false">IF($B110="","",$B110-$B109)</f>
        <v/>
      </c>
      <c r="G110" s="11" t="str">
        <f aca="false">IF($B110="","",IF($C110&lt;&gt;"",$C110,N($D110)+N($E110)))</f>
        <v/>
      </c>
      <c r="H110" s="11" t="str">
        <f aca="false">IF($B110="","",IF($E110&lt;&gt;"",$E110,$L109*Calculator!$B$5*$F110/Calculator!$B$7))</f>
        <v/>
      </c>
      <c r="I110" s="11" t="str">
        <f aca="false">IF($B110="","",$L109*Calculator!$B$6*$F110/Calculator!$B$7)</f>
        <v/>
      </c>
      <c r="J110" s="11" t="str">
        <f aca="false">IF($B110="","",MAX(0,$H110-$I110))</f>
        <v/>
      </c>
      <c r="K110" s="11" t="str">
        <f aca="false">IF($B110="","",IF($D110&lt;&gt;"",$D110,$G110-$H110))</f>
        <v/>
      </c>
      <c r="L110" s="11" t="str">
        <f aca="false">IF($B110="","",$L109-$K110)</f>
        <v/>
      </c>
      <c r="M110" s="5"/>
    </row>
    <row r="111" customFormat="false" ht="15" hidden="false" customHeight="false" outlineLevel="0" collapsed="false">
      <c r="A111" s="20" t="n">
        <v>105</v>
      </c>
      <c r="B111" s="8"/>
      <c r="C111" s="5"/>
      <c r="D111" s="5"/>
      <c r="E111" s="5"/>
      <c r="F111" s="21" t="str">
        <f aca="false">IF($B111="","",$B111-$B110)</f>
        <v/>
      </c>
      <c r="G111" s="11" t="str">
        <f aca="false">IF($B111="","",IF($C111&lt;&gt;"",$C111,N($D111)+N($E111)))</f>
        <v/>
      </c>
      <c r="H111" s="11" t="str">
        <f aca="false">IF($B111="","",IF($E111&lt;&gt;"",$E111,$L110*Calculator!$B$5*$F111/Calculator!$B$7))</f>
        <v/>
      </c>
      <c r="I111" s="11" t="str">
        <f aca="false">IF($B111="","",$L110*Calculator!$B$6*$F111/Calculator!$B$7)</f>
        <v/>
      </c>
      <c r="J111" s="11" t="str">
        <f aca="false">IF($B111="","",MAX(0,$H111-$I111))</f>
        <v/>
      </c>
      <c r="K111" s="11" t="str">
        <f aca="false">IF($B111="","",IF($D111&lt;&gt;"",$D111,$G111-$H111))</f>
        <v/>
      </c>
      <c r="L111" s="11" t="str">
        <f aca="false">IF($B111="","",$L110-$K111)</f>
        <v/>
      </c>
      <c r="M111" s="5"/>
    </row>
    <row r="112" customFormat="false" ht="15" hidden="false" customHeight="false" outlineLevel="0" collapsed="false">
      <c r="A112" s="20" t="n">
        <v>106</v>
      </c>
      <c r="B112" s="8"/>
      <c r="C112" s="5"/>
      <c r="D112" s="5"/>
      <c r="E112" s="5"/>
      <c r="F112" s="21" t="str">
        <f aca="false">IF($B112="","",$B112-$B111)</f>
        <v/>
      </c>
      <c r="G112" s="11" t="str">
        <f aca="false">IF($B112="","",IF($C112&lt;&gt;"",$C112,N($D112)+N($E112)))</f>
        <v/>
      </c>
      <c r="H112" s="11" t="str">
        <f aca="false">IF($B112="","",IF($E112&lt;&gt;"",$E112,$L111*Calculator!$B$5*$F112/Calculator!$B$7))</f>
        <v/>
      </c>
      <c r="I112" s="11" t="str">
        <f aca="false">IF($B112="","",$L111*Calculator!$B$6*$F112/Calculator!$B$7)</f>
        <v/>
      </c>
      <c r="J112" s="11" t="str">
        <f aca="false">IF($B112="","",MAX(0,$H112-$I112))</f>
        <v/>
      </c>
      <c r="K112" s="11" t="str">
        <f aca="false">IF($B112="","",IF($D112&lt;&gt;"",$D112,$G112-$H112))</f>
        <v/>
      </c>
      <c r="L112" s="11" t="str">
        <f aca="false">IF($B112="","",$L111-$K112)</f>
        <v/>
      </c>
      <c r="M112" s="5"/>
    </row>
    <row r="113" customFormat="false" ht="15" hidden="false" customHeight="false" outlineLevel="0" collapsed="false">
      <c r="A113" s="20" t="n">
        <v>107</v>
      </c>
      <c r="B113" s="8"/>
      <c r="C113" s="5"/>
      <c r="D113" s="5"/>
      <c r="E113" s="5"/>
      <c r="F113" s="21" t="str">
        <f aca="false">IF($B113="","",$B113-$B112)</f>
        <v/>
      </c>
      <c r="G113" s="11" t="str">
        <f aca="false">IF($B113="","",IF($C113&lt;&gt;"",$C113,N($D113)+N($E113)))</f>
        <v/>
      </c>
      <c r="H113" s="11" t="str">
        <f aca="false">IF($B113="","",IF($E113&lt;&gt;"",$E113,$L112*Calculator!$B$5*$F113/Calculator!$B$7))</f>
        <v/>
      </c>
      <c r="I113" s="11" t="str">
        <f aca="false">IF($B113="","",$L112*Calculator!$B$6*$F113/Calculator!$B$7)</f>
        <v/>
      </c>
      <c r="J113" s="11" t="str">
        <f aca="false">IF($B113="","",MAX(0,$H113-$I113))</f>
        <v/>
      </c>
      <c r="K113" s="11" t="str">
        <f aca="false">IF($B113="","",IF($D113&lt;&gt;"",$D113,$G113-$H113))</f>
        <v/>
      </c>
      <c r="L113" s="11" t="str">
        <f aca="false">IF($B113="","",$L112-$K113)</f>
        <v/>
      </c>
      <c r="M113" s="5"/>
    </row>
    <row r="114" customFormat="false" ht="15" hidden="false" customHeight="false" outlineLevel="0" collapsed="false">
      <c r="A114" s="20" t="n">
        <v>108</v>
      </c>
      <c r="B114" s="8"/>
      <c r="C114" s="5"/>
      <c r="D114" s="5"/>
      <c r="E114" s="5"/>
      <c r="F114" s="21" t="str">
        <f aca="false">IF($B114="","",$B114-$B113)</f>
        <v/>
      </c>
      <c r="G114" s="11" t="str">
        <f aca="false">IF($B114="","",IF($C114&lt;&gt;"",$C114,N($D114)+N($E114)))</f>
        <v/>
      </c>
      <c r="H114" s="11" t="str">
        <f aca="false">IF($B114="","",IF($E114&lt;&gt;"",$E114,$L113*Calculator!$B$5*$F114/Calculator!$B$7))</f>
        <v/>
      </c>
      <c r="I114" s="11" t="str">
        <f aca="false">IF($B114="","",$L113*Calculator!$B$6*$F114/Calculator!$B$7)</f>
        <v/>
      </c>
      <c r="J114" s="11" t="str">
        <f aca="false">IF($B114="","",MAX(0,$H114-$I114))</f>
        <v/>
      </c>
      <c r="K114" s="11" t="str">
        <f aca="false">IF($B114="","",IF($D114&lt;&gt;"",$D114,$G114-$H114))</f>
        <v/>
      </c>
      <c r="L114" s="11" t="str">
        <f aca="false">IF($B114="","",$L113-$K114)</f>
        <v/>
      </c>
      <c r="M114" s="5"/>
    </row>
    <row r="115" customFormat="false" ht="15" hidden="false" customHeight="false" outlineLevel="0" collapsed="false">
      <c r="A115" s="20" t="n">
        <v>109</v>
      </c>
      <c r="B115" s="8"/>
      <c r="C115" s="5"/>
      <c r="D115" s="5"/>
      <c r="E115" s="5"/>
      <c r="F115" s="21" t="str">
        <f aca="false">IF($B115="","",$B115-$B114)</f>
        <v/>
      </c>
      <c r="G115" s="11" t="str">
        <f aca="false">IF($B115="","",IF($C115&lt;&gt;"",$C115,N($D115)+N($E115)))</f>
        <v/>
      </c>
      <c r="H115" s="11" t="str">
        <f aca="false">IF($B115="","",IF($E115&lt;&gt;"",$E115,$L114*Calculator!$B$5*$F115/Calculator!$B$7))</f>
        <v/>
      </c>
      <c r="I115" s="11" t="str">
        <f aca="false">IF($B115="","",$L114*Calculator!$B$6*$F115/Calculator!$B$7)</f>
        <v/>
      </c>
      <c r="J115" s="11" t="str">
        <f aca="false">IF($B115="","",MAX(0,$H115-$I115))</f>
        <v/>
      </c>
      <c r="K115" s="11" t="str">
        <f aca="false">IF($B115="","",IF($D115&lt;&gt;"",$D115,$G115-$H115))</f>
        <v/>
      </c>
      <c r="L115" s="11" t="str">
        <f aca="false">IF($B115="","",$L114-$K115)</f>
        <v/>
      </c>
      <c r="M115" s="5"/>
    </row>
    <row r="116" customFormat="false" ht="15" hidden="false" customHeight="false" outlineLevel="0" collapsed="false">
      <c r="A116" s="20" t="n">
        <v>110</v>
      </c>
      <c r="B116" s="8"/>
      <c r="C116" s="5"/>
      <c r="D116" s="5"/>
      <c r="E116" s="5"/>
      <c r="F116" s="21" t="str">
        <f aca="false">IF($B116="","",$B116-$B115)</f>
        <v/>
      </c>
      <c r="G116" s="11" t="str">
        <f aca="false">IF($B116="","",IF($C116&lt;&gt;"",$C116,N($D116)+N($E116)))</f>
        <v/>
      </c>
      <c r="H116" s="11" t="str">
        <f aca="false">IF($B116="","",IF($E116&lt;&gt;"",$E116,$L115*Calculator!$B$5*$F116/Calculator!$B$7))</f>
        <v/>
      </c>
      <c r="I116" s="11" t="str">
        <f aca="false">IF($B116="","",$L115*Calculator!$B$6*$F116/Calculator!$B$7)</f>
        <v/>
      </c>
      <c r="J116" s="11" t="str">
        <f aca="false">IF($B116="","",MAX(0,$H116-$I116))</f>
        <v/>
      </c>
      <c r="K116" s="11" t="str">
        <f aca="false">IF($B116="","",IF($D116&lt;&gt;"",$D116,$G116-$H116))</f>
        <v/>
      </c>
      <c r="L116" s="11" t="str">
        <f aca="false">IF($B116="","",$L115-$K116)</f>
        <v/>
      </c>
      <c r="M116" s="5"/>
    </row>
    <row r="117" customFormat="false" ht="15" hidden="false" customHeight="false" outlineLevel="0" collapsed="false">
      <c r="A117" s="20" t="n">
        <v>111</v>
      </c>
      <c r="B117" s="8"/>
      <c r="C117" s="5"/>
      <c r="D117" s="5"/>
      <c r="E117" s="5"/>
      <c r="F117" s="21" t="str">
        <f aca="false">IF($B117="","",$B117-$B116)</f>
        <v/>
      </c>
      <c r="G117" s="11" t="str">
        <f aca="false">IF($B117="","",IF($C117&lt;&gt;"",$C117,N($D117)+N($E117)))</f>
        <v/>
      </c>
      <c r="H117" s="11" t="str">
        <f aca="false">IF($B117="","",IF($E117&lt;&gt;"",$E117,$L116*Calculator!$B$5*$F117/Calculator!$B$7))</f>
        <v/>
      </c>
      <c r="I117" s="11" t="str">
        <f aca="false">IF($B117="","",$L116*Calculator!$B$6*$F117/Calculator!$B$7)</f>
        <v/>
      </c>
      <c r="J117" s="11" t="str">
        <f aca="false">IF($B117="","",MAX(0,$H117-$I117))</f>
        <v/>
      </c>
      <c r="K117" s="11" t="str">
        <f aca="false">IF($B117="","",IF($D117&lt;&gt;"",$D117,$G117-$H117))</f>
        <v/>
      </c>
      <c r="L117" s="11" t="str">
        <f aca="false">IF($B117="","",$L116-$K117)</f>
        <v/>
      </c>
      <c r="M117" s="5"/>
    </row>
    <row r="118" customFormat="false" ht="15" hidden="false" customHeight="false" outlineLevel="0" collapsed="false">
      <c r="A118" s="20" t="n">
        <v>112</v>
      </c>
      <c r="B118" s="8"/>
      <c r="C118" s="5"/>
      <c r="D118" s="5"/>
      <c r="E118" s="5"/>
      <c r="F118" s="21" t="str">
        <f aca="false">IF($B118="","",$B118-$B117)</f>
        <v/>
      </c>
      <c r="G118" s="11" t="str">
        <f aca="false">IF($B118="","",IF($C118&lt;&gt;"",$C118,N($D118)+N($E118)))</f>
        <v/>
      </c>
      <c r="H118" s="11" t="str">
        <f aca="false">IF($B118="","",IF($E118&lt;&gt;"",$E118,$L117*Calculator!$B$5*$F118/Calculator!$B$7))</f>
        <v/>
      </c>
      <c r="I118" s="11" t="str">
        <f aca="false">IF($B118="","",$L117*Calculator!$B$6*$F118/Calculator!$B$7)</f>
        <v/>
      </c>
      <c r="J118" s="11" t="str">
        <f aca="false">IF($B118="","",MAX(0,$H118-$I118))</f>
        <v/>
      </c>
      <c r="K118" s="11" t="str">
        <f aca="false">IF($B118="","",IF($D118&lt;&gt;"",$D118,$G118-$H118))</f>
        <v/>
      </c>
      <c r="L118" s="11" t="str">
        <f aca="false">IF($B118="","",$L117-$K118)</f>
        <v/>
      </c>
      <c r="M118" s="5"/>
    </row>
    <row r="119" customFormat="false" ht="15" hidden="false" customHeight="false" outlineLevel="0" collapsed="false">
      <c r="A119" s="20" t="n">
        <v>113</v>
      </c>
      <c r="B119" s="8"/>
      <c r="C119" s="5"/>
      <c r="D119" s="5"/>
      <c r="E119" s="5"/>
      <c r="F119" s="21" t="str">
        <f aca="false">IF($B119="","",$B119-$B118)</f>
        <v/>
      </c>
      <c r="G119" s="11" t="str">
        <f aca="false">IF($B119="","",IF($C119&lt;&gt;"",$C119,N($D119)+N($E119)))</f>
        <v/>
      </c>
      <c r="H119" s="11" t="str">
        <f aca="false">IF($B119="","",IF($E119&lt;&gt;"",$E119,$L118*Calculator!$B$5*$F119/Calculator!$B$7))</f>
        <v/>
      </c>
      <c r="I119" s="11" t="str">
        <f aca="false">IF($B119="","",$L118*Calculator!$B$6*$F119/Calculator!$B$7)</f>
        <v/>
      </c>
      <c r="J119" s="11" t="str">
        <f aca="false">IF($B119="","",MAX(0,$H119-$I119))</f>
        <v/>
      </c>
      <c r="K119" s="11" t="str">
        <f aca="false">IF($B119="","",IF($D119&lt;&gt;"",$D119,$G119-$H119))</f>
        <v/>
      </c>
      <c r="L119" s="11" t="str">
        <f aca="false">IF($B119="","",$L118-$K119)</f>
        <v/>
      </c>
      <c r="M119" s="5"/>
    </row>
    <row r="120" customFormat="false" ht="15" hidden="false" customHeight="false" outlineLevel="0" collapsed="false">
      <c r="A120" s="20" t="n">
        <v>114</v>
      </c>
      <c r="B120" s="8"/>
      <c r="C120" s="5"/>
      <c r="D120" s="5"/>
      <c r="E120" s="5"/>
      <c r="F120" s="21" t="str">
        <f aca="false">IF($B120="","",$B120-$B119)</f>
        <v/>
      </c>
      <c r="G120" s="11" t="str">
        <f aca="false">IF($B120="","",IF($C120&lt;&gt;"",$C120,N($D120)+N($E120)))</f>
        <v/>
      </c>
      <c r="H120" s="11" t="str">
        <f aca="false">IF($B120="","",IF($E120&lt;&gt;"",$E120,$L119*Calculator!$B$5*$F120/Calculator!$B$7))</f>
        <v/>
      </c>
      <c r="I120" s="11" t="str">
        <f aca="false">IF($B120="","",$L119*Calculator!$B$6*$F120/Calculator!$B$7)</f>
        <v/>
      </c>
      <c r="J120" s="11" t="str">
        <f aca="false">IF($B120="","",MAX(0,$H120-$I120))</f>
        <v/>
      </c>
      <c r="K120" s="11" t="str">
        <f aca="false">IF($B120="","",IF($D120&lt;&gt;"",$D120,$G120-$H120))</f>
        <v/>
      </c>
      <c r="L120" s="11" t="str">
        <f aca="false">IF($B120="","",$L119-$K120)</f>
        <v/>
      </c>
      <c r="M120" s="5"/>
    </row>
    <row r="121" customFormat="false" ht="15" hidden="false" customHeight="false" outlineLevel="0" collapsed="false">
      <c r="A121" s="20" t="n">
        <v>115</v>
      </c>
      <c r="B121" s="8"/>
      <c r="C121" s="5"/>
      <c r="D121" s="5"/>
      <c r="E121" s="5"/>
      <c r="F121" s="21" t="str">
        <f aca="false">IF($B121="","",$B121-$B120)</f>
        <v/>
      </c>
      <c r="G121" s="11" t="str">
        <f aca="false">IF($B121="","",IF($C121&lt;&gt;"",$C121,N($D121)+N($E121)))</f>
        <v/>
      </c>
      <c r="H121" s="11" t="str">
        <f aca="false">IF($B121="","",IF($E121&lt;&gt;"",$E121,$L120*Calculator!$B$5*$F121/Calculator!$B$7))</f>
        <v/>
      </c>
      <c r="I121" s="11" t="str">
        <f aca="false">IF($B121="","",$L120*Calculator!$B$6*$F121/Calculator!$B$7)</f>
        <v/>
      </c>
      <c r="J121" s="11" t="str">
        <f aca="false">IF($B121="","",MAX(0,$H121-$I121))</f>
        <v/>
      </c>
      <c r="K121" s="11" t="str">
        <f aca="false">IF($B121="","",IF($D121&lt;&gt;"",$D121,$G121-$H121))</f>
        <v/>
      </c>
      <c r="L121" s="11" t="str">
        <f aca="false">IF($B121="","",$L120-$K121)</f>
        <v/>
      </c>
      <c r="M121" s="5"/>
    </row>
    <row r="122" customFormat="false" ht="15" hidden="false" customHeight="false" outlineLevel="0" collapsed="false">
      <c r="A122" s="20" t="n">
        <v>116</v>
      </c>
      <c r="B122" s="8"/>
      <c r="C122" s="5"/>
      <c r="D122" s="5"/>
      <c r="E122" s="5"/>
      <c r="F122" s="21" t="str">
        <f aca="false">IF($B122="","",$B122-$B121)</f>
        <v/>
      </c>
      <c r="G122" s="11" t="str">
        <f aca="false">IF($B122="","",IF($C122&lt;&gt;"",$C122,N($D122)+N($E122)))</f>
        <v/>
      </c>
      <c r="H122" s="11" t="str">
        <f aca="false">IF($B122="","",IF($E122&lt;&gt;"",$E122,$L121*Calculator!$B$5*$F122/Calculator!$B$7))</f>
        <v/>
      </c>
      <c r="I122" s="11" t="str">
        <f aca="false">IF($B122="","",$L121*Calculator!$B$6*$F122/Calculator!$B$7)</f>
        <v/>
      </c>
      <c r="J122" s="11" t="str">
        <f aca="false">IF($B122="","",MAX(0,$H122-$I122))</f>
        <v/>
      </c>
      <c r="K122" s="11" t="str">
        <f aca="false">IF($B122="","",IF($D122&lt;&gt;"",$D122,$G122-$H122))</f>
        <v/>
      </c>
      <c r="L122" s="11" t="str">
        <f aca="false">IF($B122="","",$L121-$K122)</f>
        <v/>
      </c>
      <c r="M122" s="5"/>
    </row>
    <row r="123" customFormat="false" ht="15" hidden="false" customHeight="false" outlineLevel="0" collapsed="false">
      <c r="A123" s="20" t="n">
        <v>117</v>
      </c>
      <c r="B123" s="8"/>
      <c r="C123" s="5"/>
      <c r="D123" s="5"/>
      <c r="E123" s="5"/>
      <c r="F123" s="21" t="str">
        <f aca="false">IF($B123="","",$B123-$B122)</f>
        <v/>
      </c>
      <c r="G123" s="11" t="str">
        <f aca="false">IF($B123="","",IF($C123&lt;&gt;"",$C123,N($D123)+N($E123)))</f>
        <v/>
      </c>
      <c r="H123" s="11" t="str">
        <f aca="false">IF($B123="","",IF($E123&lt;&gt;"",$E123,$L122*Calculator!$B$5*$F123/Calculator!$B$7))</f>
        <v/>
      </c>
      <c r="I123" s="11" t="str">
        <f aca="false">IF($B123="","",$L122*Calculator!$B$6*$F123/Calculator!$B$7)</f>
        <v/>
      </c>
      <c r="J123" s="11" t="str">
        <f aca="false">IF($B123="","",MAX(0,$H123-$I123))</f>
        <v/>
      </c>
      <c r="K123" s="11" t="str">
        <f aca="false">IF($B123="","",IF($D123&lt;&gt;"",$D123,$G123-$H123))</f>
        <v/>
      </c>
      <c r="L123" s="11" t="str">
        <f aca="false">IF($B123="","",$L122-$K123)</f>
        <v/>
      </c>
      <c r="M123" s="5"/>
    </row>
    <row r="124" customFormat="false" ht="15" hidden="false" customHeight="false" outlineLevel="0" collapsed="false">
      <c r="A124" s="20" t="n">
        <v>118</v>
      </c>
      <c r="B124" s="8"/>
      <c r="C124" s="5"/>
      <c r="D124" s="5"/>
      <c r="E124" s="5"/>
      <c r="F124" s="21" t="str">
        <f aca="false">IF($B124="","",$B124-$B123)</f>
        <v/>
      </c>
      <c r="G124" s="11" t="str">
        <f aca="false">IF($B124="","",IF($C124&lt;&gt;"",$C124,N($D124)+N($E124)))</f>
        <v/>
      </c>
      <c r="H124" s="11" t="str">
        <f aca="false">IF($B124="","",IF($E124&lt;&gt;"",$E124,$L123*Calculator!$B$5*$F124/Calculator!$B$7))</f>
        <v/>
      </c>
      <c r="I124" s="11" t="str">
        <f aca="false">IF($B124="","",$L123*Calculator!$B$6*$F124/Calculator!$B$7)</f>
        <v/>
      </c>
      <c r="J124" s="11" t="str">
        <f aca="false">IF($B124="","",MAX(0,$H124-$I124))</f>
        <v/>
      </c>
      <c r="K124" s="11" t="str">
        <f aca="false">IF($B124="","",IF($D124&lt;&gt;"",$D124,$G124-$H124))</f>
        <v/>
      </c>
      <c r="L124" s="11" t="str">
        <f aca="false">IF($B124="","",$L123-$K124)</f>
        <v/>
      </c>
      <c r="M124" s="5"/>
    </row>
    <row r="125" customFormat="false" ht="15" hidden="false" customHeight="false" outlineLevel="0" collapsed="false">
      <c r="A125" s="20" t="n">
        <v>119</v>
      </c>
      <c r="B125" s="8"/>
      <c r="C125" s="5"/>
      <c r="D125" s="5"/>
      <c r="E125" s="5"/>
      <c r="F125" s="21" t="str">
        <f aca="false">IF($B125="","",$B125-$B124)</f>
        <v/>
      </c>
      <c r="G125" s="11" t="str">
        <f aca="false">IF($B125="","",IF($C125&lt;&gt;"",$C125,N($D125)+N($E125)))</f>
        <v/>
      </c>
      <c r="H125" s="11" t="str">
        <f aca="false">IF($B125="","",IF($E125&lt;&gt;"",$E125,$L124*Calculator!$B$5*$F125/Calculator!$B$7))</f>
        <v/>
      </c>
      <c r="I125" s="11" t="str">
        <f aca="false">IF($B125="","",$L124*Calculator!$B$6*$F125/Calculator!$B$7)</f>
        <v/>
      </c>
      <c r="J125" s="11" t="str">
        <f aca="false">IF($B125="","",MAX(0,$H125-$I125))</f>
        <v/>
      </c>
      <c r="K125" s="11" t="str">
        <f aca="false">IF($B125="","",IF($D125&lt;&gt;"",$D125,$G125-$H125))</f>
        <v/>
      </c>
      <c r="L125" s="11" t="str">
        <f aca="false">IF($B125="","",$L124-$K125)</f>
        <v/>
      </c>
      <c r="M125" s="5"/>
    </row>
    <row r="126" customFormat="false" ht="15" hidden="false" customHeight="false" outlineLevel="0" collapsed="false">
      <c r="A126" s="20" t="n">
        <v>120</v>
      </c>
      <c r="B126" s="8"/>
      <c r="C126" s="5"/>
      <c r="D126" s="5"/>
      <c r="E126" s="5"/>
      <c r="F126" s="21" t="str">
        <f aca="false">IF($B126="","",$B126-$B125)</f>
        <v/>
      </c>
      <c r="G126" s="11" t="str">
        <f aca="false">IF($B126="","",IF($C126&lt;&gt;"",$C126,N($D126)+N($E126)))</f>
        <v/>
      </c>
      <c r="H126" s="11" t="str">
        <f aca="false">IF($B126="","",IF($E126&lt;&gt;"",$E126,$L125*Calculator!$B$5*$F126/Calculator!$B$7))</f>
        <v/>
      </c>
      <c r="I126" s="11" t="str">
        <f aca="false">IF($B126="","",$L125*Calculator!$B$6*$F126/Calculator!$B$7)</f>
        <v/>
      </c>
      <c r="J126" s="11" t="str">
        <f aca="false">IF($B126="","",MAX(0,$H126-$I126))</f>
        <v/>
      </c>
      <c r="K126" s="11" t="str">
        <f aca="false">IF($B126="","",IF($D126&lt;&gt;"",$D126,$G126-$H126))</f>
        <v/>
      </c>
      <c r="L126" s="11" t="str">
        <f aca="false">IF($B126="","",$L125-$K126)</f>
        <v/>
      </c>
      <c r="M126" s="5"/>
    </row>
    <row r="127" customFormat="false" ht="15" hidden="false" customHeight="false" outlineLevel="0" collapsed="false">
      <c r="A127" s="20" t="n">
        <v>121</v>
      </c>
      <c r="B127" s="8"/>
      <c r="C127" s="5"/>
      <c r="D127" s="5"/>
      <c r="E127" s="5"/>
      <c r="F127" s="21" t="str">
        <f aca="false">IF($B127="","",$B127-$B126)</f>
        <v/>
      </c>
      <c r="G127" s="11" t="str">
        <f aca="false">IF($B127="","",IF($C127&lt;&gt;"",$C127,N($D127)+N($E127)))</f>
        <v/>
      </c>
      <c r="H127" s="11" t="str">
        <f aca="false">IF($B127="","",IF($E127&lt;&gt;"",$E127,$L126*Calculator!$B$5*$F127/Calculator!$B$7))</f>
        <v/>
      </c>
      <c r="I127" s="11" t="str">
        <f aca="false">IF($B127="","",$L126*Calculator!$B$6*$F127/Calculator!$B$7)</f>
        <v/>
      </c>
      <c r="J127" s="11" t="str">
        <f aca="false">IF($B127="","",MAX(0,$H127-$I127))</f>
        <v/>
      </c>
      <c r="K127" s="11" t="str">
        <f aca="false">IF($B127="","",IF($D127&lt;&gt;"",$D127,$G127-$H127))</f>
        <v/>
      </c>
      <c r="L127" s="11" t="str">
        <f aca="false">IF($B127="","",$L126-$K127)</f>
        <v/>
      </c>
      <c r="M127" s="5"/>
    </row>
    <row r="128" customFormat="false" ht="15" hidden="false" customHeight="false" outlineLevel="0" collapsed="false">
      <c r="A128" s="20" t="n">
        <v>122</v>
      </c>
      <c r="B128" s="8"/>
      <c r="C128" s="5"/>
      <c r="D128" s="5"/>
      <c r="E128" s="5"/>
      <c r="F128" s="21" t="str">
        <f aca="false">IF($B128="","",$B128-$B127)</f>
        <v/>
      </c>
      <c r="G128" s="11" t="str">
        <f aca="false">IF($B128="","",IF($C128&lt;&gt;"",$C128,N($D128)+N($E128)))</f>
        <v/>
      </c>
      <c r="H128" s="11" t="str">
        <f aca="false">IF($B128="","",IF($E128&lt;&gt;"",$E128,$L127*Calculator!$B$5*$F128/Calculator!$B$7))</f>
        <v/>
      </c>
      <c r="I128" s="11" t="str">
        <f aca="false">IF($B128="","",$L127*Calculator!$B$6*$F128/Calculator!$B$7)</f>
        <v/>
      </c>
      <c r="J128" s="11" t="str">
        <f aca="false">IF($B128="","",MAX(0,$H128-$I128))</f>
        <v/>
      </c>
      <c r="K128" s="11" t="str">
        <f aca="false">IF($B128="","",IF($D128&lt;&gt;"",$D128,$G128-$H128))</f>
        <v/>
      </c>
      <c r="L128" s="11" t="str">
        <f aca="false">IF($B128="","",$L127-$K128)</f>
        <v/>
      </c>
      <c r="M128" s="5"/>
    </row>
    <row r="129" customFormat="false" ht="15" hidden="false" customHeight="false" outlineLevel="0" collapsed="false">
      <c r="A129" s="20" t="n">
        <v>123</v>
      </c>
      <c r="B129" s="8"/>
      <c r="C129" s="5"/>
      <c r="D129" s="5"/>
      <c r="E129" s="5"/>
      <c r="F129" s="21" t="str">
        <f aca="false">IF($B129="","",$B129-$B128)</f>
        <v/>
      </c>
      <c r="G129" s="11" t="str">
        <f aca="false">IF($B129="","",IF($C129&lt;&gt;"",$C129,N($D129)+N($E129)))</f>
        <v/>
      </c>
      <c r="H129" s="11" t="str">
        <f aca="false">IF($B129="","",IF($E129&lt;&gt;"",$E129,$L128*Calculator!$B$5*$F129/Calculator!$B$7))</f>
        <v/>
      </c>
      <c r="I129" s="11" t="str">
        <f aca="false">IF($B129="","",$L128*Calculator!$B$6*$F129/Calculator!$B$7)</f>
        <v/>
      </c>
      <c r="J129" s="11" t="str">
        <f aca="false">IF($B129="","",MAX(0,$H129-$I129))</f>
        <v/>
      </c>
      <c r="K129" s="11" t="str">
        <f aca="false">IF($B129="","",IF($D129&lt;&gt;"",$D129,$G129-$H129))</f>
        <v/>
      </c>
      <c r="L129" s="11" t="str">
        <f aca="false">IF($B129="","",$L128-$K129)</f>
        <v/>
      </c>
      <c r="M129" s="5"/>
    </row>
    <row r="130" customFormat="false" ht="15" hidden="false" customHeight="false" outlineLevel="0" collapsed="false">
      <c r="A130" s="20" t="n">
        <v>124</v>
      </c>
      <c r="B130" s="8"/>
      <c r="C130" s="5"/>
      <c r="D130" s="5"/>
      <c r="E130" s="5"/>
      <c r="F130" s="21" t="str">
        <f aca="false">IF($B130="","",$B130-$B129)</f>
        <v/>
      </c>
      <c r="G130" s="11" t="str">
        <f aca="false">IF($B130="","",IF($C130&lt;&gt;"",$C130,N($D130)+N($E130)))</f>
        <v/>
      </c>
      <c r="H130" s="11" t="str">
        <f aca="false">IF($B130="","",IF($E130&lt;&gt;"",$E130,$L129*Calculator!$B$5*$F130/Calculator!$B$7))</f>
        <v/>
      </c>
      <c r="I130" s="11" t="str">
        <f aca="false">IF($B130="","",$L129*Calculator!$B$6*$F130/Calculator!$B$7)</f>
        <v/>
      </c>
      <c r="J130" s="11" t="str">
        <f aca="false">IF($B130="","",MAX(0,$H130-$I130))</f>
        <v/>
      </c>
      <c r="K130" s="11" t="str">
        <f aca="false">IF($B130="","",IF($D130&lt;&gt;"",$D130,$G130-$H130))</f>
        <v/>
      </c>
      <c r="L130" s="11" t="str">
        <f aca="false">IF($B130="","",$L129-$K130)</f>
        <v/>
      </c>
      <c r="M130" s="5"/>
    </row>
    <row r="131" customFormat="false" ht="15" hidden="false" customHeight="false" outlineLevel="0" collapsed="false">
      <c r="A131" s="20" t="n">
        <v>125</v>
      </c>
      <c r="B131" s="8"/>
      <c r="C131" s="5"/>
      <c r="D131" s="5"/>
      <c r="E131" s="5"/>
      <c r="F131" s="21" t="str">
        <f aca="false">IF($B131="","",$B131-$B130)</f>
        <v/>
      </c>
      <c r="G131" s="11" t="str">
        <f aca="false">IF($B131="","",IF($C131&lt;&gt;"",$C131,N($D131)+N($E131)))</f>
        <v/>
      </c>
      <c r="H131" s="11" t="str">
        <f aca="false">IF($B131="","",IF($E131&lt;&gt;"",$E131,$L130*Calculator!$B$5*$F131/Calculator!$B$7))</f>
        <v/>
      </c>
      <c r="I131" s="11" t="str">
        <f aca="false">IF($B131="","",$L130*Calculator!$B$6*$F131/Calculator!$B$7)</f>
        <v/>
      </c>
      <c r="J131" s="11" t="str">
        <f aca="false">IF($B131="","",MAX(0,$H131-$I131))</f>
        <v/>
      </c>
      <c r="K131" s="11" t="str">
        <f aca="false">IF($B131="","",IF($D131&lt;&gt;"",$D131,$G131-$H131))</f>
        <v/>
      </c>
      <c r="L131" s="11" t="str">
        <f aca="false">IF($B131="","",$L130-$K131)</f>
        <v/>
      </c>
      <c r="M131" s="5"/>
    </row>
    <row r="132" customFormat="false" ht="15" hidden="false" customHeight="false" outlineLevel="0" collapsed="false">
      <c r="A132" s="20" t="n">
        <v>126</v>
      </c>
      <c r="B132" s="8"/>
      <c r="C132" s="5"/>
      <c r="D132" s="5"/>
      <c r="E132" s="5"/>
      <c r="F132" s="21" t="str">
        <f aca="false">IF($B132="","",$B132-$B131)</f>
        <v/>
      </c>
      <c r="G132" s="11" t="str">
        <f aca="false">IF($B132="","",IF($C132&lt;&gt;"",$C132,N($D132)+N($E132)))</f>
        <v/>
      </c>
      <c r="H132" s="11" t="str">
        <f aca="false">IF($B132="","",IF($E132&lt;&gt;"",$E132,$L131*Calculator!$B$5*$F132/Calculator!$B$7))</f>
        <v/>
      </c>
      <c r="I132" s="11" t="str">
        <f aca="false">IF($B132="","",$L131*Calculator!$B$6*$F132/Calculator!$B$7)</f>
        <v/>
      </c>
      <c r="J132" s="11" t="str">
        <f aca="false">IF($B132="","",MAX(0,$H132-$I132))</f>
        <v/>
      </c>
      <c r="K132" s="11" t="str">
        <f aca="false">IF($B132="","",IF($D132&lt;&gt;"",$D132,$G132-$H132))</f>
        <v/>
      </c>
      <c r="L132" s="11" t="str">
        <f aca="false">IF($B132="","",$L131-$K132)</f>
        <v/>
      </c>
      <c r="M132" s="5"/>
    </row>
    <row r="133" customFormat="false" ht="15" hidden="false" customHeight="false" outlineLevel="0" collapsed="false">
      <c r="A133" s="20" t="n">
        <v>127</v>
      </c>
      <c r="B133" s="8"/>
      <c r="C133" s="5"/>
      <c r="D133" s="5"/>
      <c r="E133" s="5"/>
      <c r="F133" s="21" t="str">
        <f aca="false">IF($B133="","",$B133-$B132)</f>
        <v/>
      </c>
      <c r="G133" s="11" t="str">
        <f aca="false">IF($B133="","",IF($C133&lt;&gt;"",$C133,N($D133)+N($E133)))</f>
        <v/>
      </c>
      <c r="H133" s="11" t="str">
        <f aca="false">IF($B133="","",IF($E133&lt;&gt;"",$E133,$L132*Calculator!$B$5*$F133/Calculator!$B$7))</f>
        <v/>
      </c>
      <c r="I133" s="11" t="str">
        <f aca="false">IF($B133="","",$L132*Calculator!$B$6*$F133/Calculator!$B$7)</f>
        <v/>
      </c>
      <c r="J133" s="11" t="str">
        <f aca="false">IF($B133="","",MAX(0,$H133-$I133))</f>
        <v/>
      </c>
      <c r="K133" s="11" t="str">
        <f aca="false">IF($B133="","",IF($D133&lt;&gt;"",$D133,$G133-$H133))</f>
        <v/>
      </c>
      <c r="L133" s="11" t="str">
        <f aca="false">IF($B133="","",$L132-$K133)</f>
        <v/>
      </c>
      <c r="M133" s="5"/>
    </row>
    <row r="134" customFormat="false" ht="15" hidden="false" customHeight="false" outlineLevel="0" collapsed="false">
      <c r="A134" s="20" t="n">
        <v>128</v>
      </c>
      <c r="B134" s="8"/>
      <c r="C134" s="5"/>
      <c r="D134" s="5"/>
      <c r="E134" s="5"/>
      <c r="F134" s="21" t="str">
        <f aca="false">IF($B134="","",$B134-$B133)</f>
        <v/>
      </c>
      <c r="G134" s="11" t="str">
        <f aca="false">IF($B134="","",IF($C134&lt;&gt;"",$C134,N($D134)+N($E134)))</f>
        <v/>
      </c>
      <c r="H134" s="11" t="str">
        <f aca="false">IF($B134="","",IF($E134&lt;&gt;"",$E134,$L133*Calculator!$B$5*$F134/Calculator!$B$7))</f>
        <v/>
      </c>
      <c r="I134" s="11" t="str">
        <f aca="false">IF($B134="","",$L133*Calculator!$B$6*$F134/Calculator!$B$7)</f>
        <v/>
      </c>
      <c r="J134" s="11" t="str">
        <f aca="false">IF($B134="","",MAX(0,$H134-$I134))</f>
        <v/>
      </c>
      <c r="K134" s="11" t="str">
        <f aca="false">IF($B134="","",IF($D134&lt;&gt;"",$D134,$G134-$H134))</f>
        <v/>
      </c>
      <c r="L134" s="11" t="str">
        <f aca="false">IF($B134="","",$L133-$K134)</f>
        <v/>
      </c>
      <c r="M134" s="5"/>
    </row>
    <row r="135" customFormat="false" ht="15" hidden="false" customHeight="false" outlineLevel="0" collapsed="false">
      <c r="A135" s="20" t="n">
        <v>129</v>
      </c>
      <c r="B135" s="8"/>
      <c r="C135" s="5"/>
      <c r="D135" s="5"/>
      <c r="E135" s="5"/>
      <c r="F135" s="21" t="str">
        <f aca="false">IF($B135="","",$B135-$B134)</f>
        <v/>
      </c>
      <c r="G135" s="11" t="str">
        <f aca="false">IF($B135="","",IF($C135&lt;&gt;"",$C135,N($D135)+N($E135)))</f>
        <v/>
      </c>
      <c r="H135" s="11" t="str">
        <f aca="false">IF($B135="","",IF($E135&lt;&gt;"",$E135,$L134*Calculator!$B$5*$F135/Calculator!$B$7))</f>
        <v/>
      </c>
      <c r="I135" s="11" t="str">
        <f aca="false">IF($B135="","",$L134*Calculator!$B$6*$F135/Calculator!$B$7)</f>
        <v/>
      </c>
      <c r="J135" s="11" t="str">
        <f aca="false">IF($B135="","",MAX(0,$H135-$I135))</f>
        <v/>
      </c>
      <c r="K135" s="11" t="str">
        <f aca="false">IF($B135="","",IF($D135&lt;&gt;"",$D135,$G135-$H135))</f>
        <v/>
      </c>
      <c r="L135" s="11" t="str">
        <f aca="false">IF($B135="","",$L134-$K135)</f>
        <v/>
      </c>
      <c r="M135" s="5"/>
    </row>
    <row r="136" customFormat="false" ht="15" hidden="false" customHeight="false" outlineLevel="0" collapsed="false">
      <c r="A136" s="20" t="n">
        <v>130</v>
      </c>
      <c r="B136" s="8"/>
      <c r="C136" s="5"/>
      <c r="D136" s="5"/>
      <c r="E136" s="5"/>
      <c r="F136" s="21" t="str">
        <f aca="false">IF($B136="","",$B136-$B135)</f>
        <v/>
      </c>
      <c r="G136" s="11" t="str">
        <f aca="false">IF($B136="","",IF($C136&lt;&gt;"",$C136,N($D136)+N($E136)))</f>
        <v/>
      </c>
      <c r="H136" s="11" t="str">
        <f aca="false">IF($B136="","",IF($E136&lt;&gt;"",$E136,$L135*Calculator!$B$5*$F136/Calculator!$B$7))</f>
        <v/>
      </c>
      <c r="I136" s="11" t="str">
        <f aca="false">IF($B136="","",$L135*Calculator!$B$6*$F136/Calculator!$B$7)</f>
        <v/>
      </c>
      <c r="J136" s="11" t="str">
        <f aca="false">IF($B136="","",MAX(0,$H136-$I136))</f>
        <v/>
      </c>
      <c r="K136" s="11" t="str">
        <f aca="false">IF($B136="","",IF($D136&lt;&gt;"",$D136,$G136-$H136))</f>
        <v/>
      </c>
      <c r="L136" s="11" t="str">
        <f aca="false">IF($B136="","",$L135-$K136)</f>
        <v/>
      </c>
      <c r="M136" s="5"/>
    </row>
    <row r="137" customFormat="false" ht="15" hidden="false" customHeight="false" outlineLevel="0" collapsed="false">
      <c r="A137" s="20" t="n">
        <v>131</v>
      </c>
      <c r="B137" s="8"/>
      <c r="C137" s="5"/>
      <c r="D137" s="5"/>
      <c r="E137" s="5"/>
      <c r="F137" s="21" t="str">
        <f aca="false">IF($B137="","",$B137-$B136)</f>
        <v/>
      </c>
      <c r="G137" s="11" t="str">
        <f aca="false">IF($B137="","",IF($C137&lt;&gt;"",$C137,N($D137)+N($E137)))</f>
        <v/>
      </c>
      <c r="H137" s="11" t="str">
        <f aca="false">IF($B137="","",IF($E137&lt;&gt;"",$E137,$L136*Calculator!$B$5*$F137/Calculator!$B$7))</f>
        <v/>
      </c>
      <c r="I137" s="11" t="str">
        <f aca="false">IF($B137="","",$L136*Calculator!$B$6*$F137/Calculator!$B$7)</f>
        <v/>
      </c>
      <c r="J137" s="11" t="str">
        <f aca="false">IF($B137="","",MAX(0,$H137-$I137))</f>
        <v/>
      </c>
      <c r="K137" s="11" t="str">
        <f aca="false">IF($B137="","",IF($D137&lt;&gt;"",$D137,$G137-$H137))</f>
        <v/>
      </c>
      <c r="L137" s="11" t="str">
        <f aca="false">IF($B137="","",$L136-$K137)</f>
        <v/>
      </c>
      <c r="M137" s="5"/>
    </row>
    <row r="138" customFormat="false" ht="15" hidden="false" customHeight="false" outlineLevel="0" collapsed="false">
      <c r="A138" s="20" t="n">
        <v>132</v>
      </c>
      <c r="B138" s="8"/>
      <c r="C138" s="5"/>
      <c r="D138" s="5"/>
      <c r="E138" s="5"/>
      <c r="F138" s="21" t="str">
        <f aca="false">IF($B138="","",$B138-$B137)</f>
        <v/>
      </c>
      <c r="G138" s="11" t="str">
        <f aca="false">IF($B138="","",IF($C138&lt;&gt;"",$C138,N($D138)+N($E138)))</f>
        <v/>
      </c>
      <c r="H138" s="11" t="str">
        <f aca="false">IF($B138="","",IF($E138&lt;&gt;"",$E138,$L137*Calculator!$B$5*$F138/Calculator!$B$7))</f>
        <v/>
      </c>
      <c r="I138" s="11" t="str">
        <f aca="false">IF($B138="","",$L137*Calculator!$B$6*$F138/Calculator!$B$7)</f>
        <v/>
      </c>
      <c r="J138" s="11" t="str">
        <f aca="false">IF($B138="","",MAX(0,$H138-$I138))</f>
        <v/>
      </c>
      <c r="K138" s="11" t="str">
        <f aca="false">IF($B138="","",IF($D138&lt;&gt;"",$D138,$G138-$H138))</f>
        <v/>
      </c>
      <c r="L138" s="11" t="str">
        <f aca="false">IF($B138="","",$L137-$K138)</f>
        <v/>
      </c>
      <c r="M138" s="5"/>
    </row>
    <row r="139" customFormat="false" ht="15" hidden="false" customHeight="false" outlineLevel="0" collapsed="false">
      <c r="A139" s="20" t="n">
        <v>133</v>
      </c>
      <c r="B139" s="8"/>
      <c r="C139" s="5"/>
      <c r="D139" s="5"/>
      <c r="E139" s="5"/>
      <c r="F139" s="21" t="str">
        <f aca="false">IF($B139="","",$B139-$B138)</f>
        <v/>
      </c>
      <c r="G139" s="11" t="str">
        <f aca="false">IF($B139="","",IF($C139&lt;&gt;"",$C139,N($D139)+N($E139)))</f>
        <v/>
      </c>
      <c r="H139" s="11" t="str">
        <f aca="false">IF($B139="","",IF($E139&lt;&gt;"",$E139,$L138*Calculator!$B$5*$F139/Calculator!$B$7))</f>
        <v/>
      </c>
      <c r="I139" s="11" t="str">
        <f aca="false">IF($B139="","",$L138*Calculator!$B$6*$F139/Calculator!$B$7)</f>
        <v/>
      </c>
      <c r="J139" s="11" t="str">
        <f aca="false">IF($B139="","",MAX(0,$H139-$I139))</f>
        <v/>
      </c>
      <c r="K139" s="11" t="str">
        <f aca="false">IF($B139="","",IF($D139&lt;&gt;"",$D139,$G139-$H139))</f>
        <v/>
      </c>
      <c r="L139" s="11" t="str">
        <f aca="false">IF($B139="","",$L138-$K139)</f>
        <v/>
      </c>
      <c r="M139" s="5"/>
    </row>
    <row r="140" customFormat="false" ht="15" hidden="false" customHeight="false" outlineLevel="0" collapsed="false">
      <c r="A140" s="20" t="n">
        <v>134</v>
      </c>
      <c r="B140" s="8"/>
      <c r="C140" s="5"/>
      <c r="D140" s="5"/>
      <c r="E140" s="5"/>
      <c r="F140" s="21" t="str">
        <f aca="false">IF($B140="","",$B140-$B139)</f>
        <v/>
      </c>
      <c r="G140" s="11" t="str">
        <f aca="false">IF($B140="","",IF($C140&lt;&gt;"",$C140,N($D140)+N($E140)))</f>
        <v/>
      </c>
      <c r="H140" s="11" t="str">
        <f aca="false">IF($B140="","",IF($E140&lt;&gt;"",$E140,$L139*Calculator!$B$5*$F140/Calculator!$B$7))</f>
        <v/>
      </c>
      <c r="I140" s="11" t="str">
        <f aca="false">IF($B140="","",$L139*Calculator!$B$6*$F140/Calculator!$B$7)</f>
        <v/>
      </c>
      <c r="J140" s="11" t="str">
        <f aca="false">IF($B140="","",MAX(0,$H140-$I140))</f>
        <v/>
      </c>
      <c r="K140" s="11" t="str">
        <f aca="false">IF($B140="","",IF($D140&lt;&gt;"",$D140,$G140-$H140))</f>
        <v/>
      </c>
      <c r="L140" s="11" t="str">
        <f aca="false">IF($B140="","",$L139-$K140)</f>
        <v/>
      </c>
      <c r="M140" s="5"/>
    </row>
    <row r="141" customFormat="false" ht="15" hidden="false" customHeight="false" outlineLevel="0" collapsed="false">
      <c r="A141" s="20" t="n">
        <v>135</v>
      </c>
      <c r="B141" s="8"/>
      <c r="C141" s="5"/>
      <c r="D141" s="5"/>
      <c r="E141" s="5"/>
      <c r="F141" s="21" t="str">
        <f aca="false">IF($B141="","",$B141-$B140)</f>
        <v/>
      </c>
      <c r="G141" s="11" t="str">
        <f aca="false">IF($B141="","",IF($C141&lt;&gt;"",$C141,N($D141)+N($E141)))</f>
        <v/>
      </c>
      <c r="H141" s="11" t="str">
        <f aca="false">IF($B141="","",IF($E141&lt;&gt;"",$E141,$L140*Calculator!$B$5*$F141/Calculator!$B$7))</f>
        <v/>
      </c>
      <c r="I141" s="11" t="str">
        <f aca="false">IF($B141="","",$L140*Calculator!$B$6*$F141/Calculator!$B$7)</f>
        <v/>
      </c>
      <c r="J141" s="11" t="str">
        <f aca="false">IF($B141="","",MAX(0,$H141-$I141))</f>
        <v/>
      </c>
      <c r="K141" s="11" t="str">
        <f aca="false">IF($B141="","",IF($D141&lt;&gt;"",$D141,$G141-$H141))</f>
        <v/>
      </c>
      <c r="L141" s="11" t="str">
        <f aca="false">IF($B141="","",$L140-$K141)</f>
        <v/>
      </c>
      <c r="M141" s="5"/>
    </row>
    <row r="142" customFormat="false" ht="15" hidden="false" customHeight="false" outlineLevel="0" collapsed="false">
      <c r="A142" s="20" t="n">
        <v>136</v>
      </c>
      <c r="B142" s="8"/>
      <c r="C142" s="5"/>
      <c r="D142" s="5"/>
      <c r="E142" s="5"/>
      <c r="F142" s="21" t="str">
        <f aca="false">IF($B142="","",$B142-$B141)</f>
        <v/>
      </c>
      <c r="G142" s="11" t="str">
        <f aca="false">IF($B142="","",IF($C142&lt;&gt;"",$C142,N($D142)+N($E142)))</f>
        <v/>
      </c>
      <c r="H142" s="11" t="str">
        <f aca="false">IF($B142="","",IF($E142&lt;&gt;"",$E142,$L141*Calculator!$B$5*$F142/Calculator!$B$7))</f>
        <v/>
      </c>
      <c r="I142" s="11" t="str">
        <f aca="false">IF($B142="","",$L141*Calculator!$B$6*$F142/Calculator!$B$7)</f>
        <v/>
      </c>
      <c r="J142" s="11" t="str">
        <f aca="false">IF($B142="","",MAX(0,$H142-$I142))</f>
        <v/>
      </c>
      <c r="K142" s="11" t="str">
        <f aca="false">IF($B142="","",IF($D142&lt;&gt;"",$D142,$G142-$H142))</f>
        <v/>
      </c>
      <c r="L142" s="11" t="str">
        <f aca="false">IF($B142="","",$L141-$K142)</f>
        <v/>
      </c>
      <c r="M142" s="5"/>
    </row>
    <row r="143" customFormat="false" ht="15" hidden="false" customHeight="false" outlineLevel="0" collapsed="false">
      <c r="A143" s="20" t="n">
        <v>137</v>
      </c>
      <c r="B143" s="8"/>
      <c r="C143" s="5"/>
      <c r="D143" s="5"/>
      <c r="E143" s="5"/>
      <c r="F143" s="21" t="str">
        <f aca="false">IF($B143="","",$B143-$B142)</f>
        <v/>
      </c>
      <c r="G143" s="11" t="str">
        <f aca="false">IF($B143="","",IF($C143&lt;&gt;"",$C143,N($D143)+N($E143)))</f>
        <v/>
      </c>
      <c r="H143" s="11" t="str">
        <f aca="false">IF($B143="","",IF($E143&lt;&gt;"",$E143,$L142*Calculator!$B$5*$F143/Calculator!$B$7))</f>
        <v/>
      </c>
      <c r="I143" s="11" t="str">
        <f aca="false">IF($B143="","",$L142*Calculator!$B$6*$F143/Calculator!$B$7)</f>
        <v/>
      </c>
      <c r="J143" s="11" t="str">
        <f aca="false">IF($B143="","",MAX(0,$H143-$I143))</f>
        <v/>
      </c>
      <c r="K143" s="11" t="str">
        <f aca="false">IF($B143="","",IF($D143&lt;&gt;"",$D143,$G143-$H143))</f>
        <v/>
      </c>
      <c r="L143" s="11" t="str">
        <f aca="false">IF($B143="","",$L142-$K143)</f>
        <v/>
      </c>
      <c r="M143" s="5"/>
    </row>
    <row r="144" customFormat="false" ht="15" hidden="false" customHeight="false" outlineLevel="0" collapsed="false">
      <c r="A144" s="20" t="n">
        <v>138</v>
      </c>
      <c r="B144" s="8"/>
      <c r="C144" s="5"/>
      <c r="D144" s="5"/>
      <c r="E144" s="5"/>
      <c r="F144" s="21" t="str">
        <f aca="false">IF($B144="","",$B144-$B143)</f>
        <v/>
      </c>
      <c r="G144" s="11" t="str">
        <f aca="false">IF($B144="","",IF($C144&lt;&gt;"",$C144,N($D144)+N($E144)))</f>
        <v/>
      </c>
      <c r="H144" s="11" t="str">
        <f aca="false">IF($B144="","",IF($E144&lt;&gt;"",$E144,$L143*Calculator!$B$5*$F144/Calculator!$B$7))</f>
        <v/>
      </c>
      <c r="I144" s="11" t="str">
        <f aca="false">IF($B144="","",$L143*Calculator!$B$6*$F144/Calculator!$B$7)</f>
        <v/>
      </c>
      <c r="J144" s="11" t="str">
        <f aca="false">IF($B144="","",MAX(0,$H144-$I144))</f>
        <v/>
      </c>
      <c r="K144" s="11" t="str">
        <f aca="false">IF($B144="","",IF($D144&lt;&gt;"",$D144,$G144-$H144))</f>
        <v/>
      </c>
      <c r="L144" s="11" t="str">
        <f aca="false">IF($B144="","",$L143-$K144)</f>
        <v/>
      </c>
      <c r="M144" s="5"/>
    </row>
    <row r="145" customFormat="false" ht="15" hidden="false" customHeight="false" outlineLevel="0" collapsed="false">
      <c r="A145" s="20" t="n">
        <v>139</v>
      </c>
      <c r="B145" s="8"/>
      <c r="C145" s="5"/>
      <c r="D145" s="5"/>
      <c r="E145" s="5"/>
      <c r="F145" s="21" t="str">
        <f aca="false">IF($B145="","",$B145-$B144)</f>
        <v/>
      </c>
      <c r="G145" s="11" t="str">
        <f aca="false">IF($B145="","",IF($C145&lt;&gt;"",$C145,N($D145)+N($E145)))</f>
        <v/>
      </c>
      <c r="H145" s="11" t="str">
        <f aca="false">IF($B145="","",IF($E145&lt;&gt;"",$E145,$L144*Calculator!$B$5*$F145/Calculator!$B$7))</f>
        <v/>
      </c>
      <c r="I145" s="11" t="str">
        <f aca="false">IF($B145="","",$L144*Calculator!$B$6*$F145/Calculator!$B$7)</f>
        <v/>
      </c>
      <c r="J145" s="11" t="str">
        <f aca="false">IF($B145="","",MAX(0,$H145-$I145))</f>
        <v/>
      </c>
      <c r="K145" s="11" t="str">
        <f aca="false">IF($B145="","",IF($D145&lt;&gt;"",$D145,$G145-$H145))</f>
        <v/>
      </c>
      <c r="L145" s="11" t="str">
        <f aca="false">IF($B145="","",$L144-$K145)</f>
        <v/>
      </c>
      <c r="M145" s="5"/>
    </row>
    <row r="146" customFormat="false" ht="15" hidden="false" customHeight="false" outlineLevel="0" collapsed="false">
      <c r="A146" s="20" t="n">
        <v>140</v>
      </c>
      <c r="B146" s="8"/>
      <c r="C146" s="5"/>
      <c r="D146" s="5"/>
      <c r="E146" s="5"/>
      <c r="F146" s="21" t="str">
        <f aca="false">IF($B146="","",$B146-$B145)</f>
        <v/>
      </c>
      <c r="G146" s="11" t="str">
        <f aca="false">IF($B146="","",IF($C146&lt;&gt;"",$C146,N($D146)+N($E146)))</f>
        <v/>
      </c>
      <c r="H146" s="11" t="str">
        <f aca="false">IF($B146="","",IF($E146&lt;&gt;"",$E146,$L145*Calculator!$B$5*$F146/Calculator!$B$7))</f>
        <v/>
      </c>
      <c r="I146" s="11" t="str">
        <f aca="false">IF($B146="","",$L145*Calculator!$B$6*$F146/Calculator!$B$7)</f>
        <v/>
      </c>
      <c r="J146" s="11" t="str">
        <f aca="false">IF($B146="","",MAX(0,$H146-$I146))</f>
        <v/>
      </c>
      <c r="K146" s="11" t="str">
        <f aca="false">IF($B146="","",IF($D146&lt;&gt;"",$D146,$G146-$H146))</f>
        <v/>
      </c>
      <c r="L146" s="11" t="str">
        <f aca="false">IF($B146="","",$L145-$K146)</f>
        <v/>
      </c>
      <c r="M146" s="5"/>
    </row>
    <row r="147" customFormat="false" ht="15" hidden="false" customHeight="false" outlineLevel="0" collapsed="false">
      <c r="A147" s="20" t="n">
        <v>141</v>
      </c>
      <c r="B147" s="8"/>
      <c r="C147" s="5"/>
      <c r="D147" s="5"/>
      <c r="E147" s="5"/>
      <c r="F147" s="21" t="str">
        <f aca="false">IF($B147="","",$B147-$B146)</f>
        <v/>
      </c>
      <c r="G147" s="11" t="str">
        <f aca="false">IF($B147="","",IF($C147&lt;&gt;"",$C147,N($D147)+N($E147)))</f>
        <v/>
      </c>
      <c r="H147" s="11" t="str">
        <f aca="false">IF($B147="","",IF($E147&lt;&gt;"",$E147,$L146*Calculator!$B$5*$F147/Calculator!$B$7))</f>
        <v/>
      </c>
      <c r="I147" s="11" t="str">
        <f aca="false">IF($B147="","",$L146*Calculator!$B$6*$F147/Calculator!$B$7)</f>
        <v/>
      </c>
      <c r="J147" s="11" t="str">
        <f aca="false">IF($B147="","",MAX(0,$H147-$I147))</f>
        <v/>
      </c>
      <c r="K147" s="11" t="str">
        <f aca="false">IF($B147="","",IF($D147&lt;&gt;"",$D147,$G147-$H147))</f>
        <v/>
      </c>
      <c r="L147" s="11" t="str">
        <f aca="false">IF($B147="","",$L146-$K147)</f>
        <v/>
      </c>
      <c r="M147" s="5"/>
    </row>
    <row r="148" customFormat="false" ht="15" hidden="false" customHeight="false" outlineLevel="0" collapsed="false">
      <c r="A148" s="20" t="n">
        <v>142</v>
      </c>
      <c r="B148" s="8"/>
      <c r="C148" s="5"/>
      <c r="D148" s="5"/>
      <c r="E148" s="5"/>
      <c r="F148" s="21" t="str">
        <f aca="false">IF($B148="","",$B148-$B147)</f>
        <v/>
      </c>
      <c r="G148" s="11" t="str">
        <f aca="false">IF($B148="","",IF($C148&lt;&gt;"",$C148,N($D148)+N($E148)))</f>
        <v/>
      </c>
      <c r="H148" s="11" t="str">
        <f aca="false">IF($B148="","",IF($E148&lt;&gt;"",$E148,$L147*Calculator!$B$5*$F148/Calculator!$B$7))</f>
        <v/>
      </c>
      <c r="I148" s="11" t="str">
        <f aca="false">IF($B148="","",$L147*Calculator!$B$6*$F148/Calculator!$B$7)</f>
        <v/>
      </c>
      <c r="J148" s="11" t="str">
        <f aca="false">IF($B148="","",MAX(0,$H148-$I148))</f>
        <v/>
      </c>
      <c r="K148" s="11" t="str">
        <f aca="false">IF($B148="","",IF($D148&lt;&gt;"",$D148,$G148-$H148))</f>
        <v/>
      </c>
      <c r="L148" s="11" t="str">
        <f aca="false">IF($B148="","",$L147-$K148)</f>
        <v/>
      </c>
      <c r="M148" s="5"/>
    </row>
    <row r="149" customFormat="false" ht="15" hidden="false" customHeight="false" outlineLevel="0" collapsed="false">
      <c r="A149" s="20" t="n">
        <v>143</v>
      </c>
      <c r="B149" s="8"/>
      <c r="C149" s="5"/>
      <c r="D149" s="5"/>
      <c r="E149" s="5"/>
      <c r="F149" s="21" t="str">
        <f aca="false">IF($B149="","",$B149-$B148)</f>
        <v/>
      </c>
      <c r="G149" s="11" t="str">
        <f aca="false">IF($B149="","",IF($C149&lt;&gt;"",$C149,N($D149)+N($E149)))</f>
        <v/>
      </c>
      <c r="H149" s="11" t="str">
        <f aca="false">IF($B149="","",IF($E149&lt;&gt;"",$E149,$L148*Calculator!$B$5*$F149/Calculator!$B$7))</f>
        <v/>
      </c>
      <c r="I149" s="11" t="str">
        <f aca="false">IF($B149="","",$L148*Calculator!$B$6*$F149/Calculator!$B$7)</f>
        <v/>
      </c>
      <c r="J149" s="11" t="str">
        <f aca="false">IF($B149="","",MAX(0,$H149-$I149))</f>
        <v/>
      </c>
      <c r="K149" s="11" t="str">
        <f aca="false">IF($B149="","",IF($D149&lt;&gt;"",$D149,$G149-$H149))</f>
        <v/>
      </c>
      <c r="L149" s="11" t="str">
        <f aca="false">IF($B149="","",$L148-$K149)</f>
        <v/>
      </c>
      <c r="M149" s="5"/>
    </row>
    <row r="150" customFormat="false" ht="15" hidden="false" customHeight="false" outlineLevel="0" collapsed="false">
      <c r="A150" s="20" t="n">
        <v>144</v>
      </c>
      <c r="B150" s="8"/>
      <c r="C150" s="5"/>
      <c r="D150" s="5"/>
      <c r="E150" s="5"/>
      <c r="F150" s="21" t="str">
        <f aca="false">IF($B150="","",$B150-$B149)</f>
        <v/>
      </c>
      <c r="G150" s="11" t="str">
        <f aca="false">IF($B150="","",IF($C150&lt;&gt;"",$C150,N($D150)+N($E150)))</f>
        <v/>
      </c>
      <c r="H150" s="11" t="str">
        <f aca="false">IF($B150="","",IF($E150&lt;&gt;"",$E150,$L149*Calculator!$B$5*$F150/Calculator!$B$7))</f>
        <v/>
      </c>
      <c r="I150" s="11" t="str">
        <f aca="false">IF($B150="","",$L149*Calculator!$B$6*$F150/Calculator!$B$7)</f>
        <v/>
      </c>
      <c r="J150" s="11" t="str">
        <f aca="false">IF($B150="","",MAX(0,$H150-$I150))</f>
        <v/>
      </c>
      <c r="K150" s="11" t="str">
        <f aca="false">IF($B150="","",IF($D150&lt;&gt;"",$D150,$G150-$H150))</f>
        <v/>
      </c>
      <c r="L150" s="11" t="str">
        <f aca="false">IF($B150="","",$L149-$K150)</f>
        <v/>
      </c>
      <c r="M150" s="5"/>
    </row>
    <row r="151" customFormat="false" ht="15" hidden="false" customHeight="false" outlineLevel="0" collapsed="false">
      <c r="A151" s="20" t="n">
        <v>145</v>
      </c>
      <c r="B151" s="8"/>
      <c r="C151" s="5"/>
      <c r="D151" s="5"/>
      <c r="E151" s="5"/>
      <c r="F151" s="21" t="str">
        <f aca="false">IF($B151="","",$B151-$B150)</f>
        <v/>
      </c>
      <c r="G151" s="11" t="str">
        <f aca="false">IF($B151="","",IF($C151&lt;&gt;"",$C151,N($D151)+N($E151)))</f>
        <v/>
      </c>
      <c r="H151" s="11" t="str">
        <f aca="false">IF($B151="","",IF($E151&lt;&gt;"",$E151,$L150*Calculator!$B$5*$F151/Calculator!$B$7))</f>
        <v/>
      </c>
      <c r="I151" s="11" t="str">
        <f aca="false">IF($B151="","",$L150*Calculator!$B$6*$F151/Calculator!$B$7)</f>
        <v/>
      </c>
      <c r="J151" s="11" t="str">
        <f aca="false">IF($B151="","",MAX(0,$H151-$I151))</f>
        <v/>
      </c>
      <c r="K151" s="11" t="str">
        <f aca="false">IF($B151="","",IF($D151&lt;&gt;"",$D151,$G151-$H151))</f>
        <v/>
      </c>
      <c r="L151" s="11" t="str">
        <f aca="false">IF($B151="","",$L150-$K151)</f>
        <v/>
      </c>
      <c r="M151" s="5"/>
    </row>
    <row r="152" customFormat="false" ht="15" hidden="false" customHeight="false" outlineLevel="0" collapsed="false">
      <c r="A152" s="20" t="n">
        <v>146</v>
      </c>
      <c r="B152" s="8"/>
      <c r="C152" s="5"/>
      <c r="D152" s="5"/>
      <c r="E152" s="5"/>
      <c r="F152" s="21" t="str">
        <f aca="false">IF($B152="","",$B152-$B151)</f>
        <v/>
      </c>
      <c r="G152" s="11" t="str">
        <f aca="false">IF($B152="","",IF($C152&lt;&gt;"",$C152,N($D152)+N($E152)))</f>
        <v/>
      </c>
      <c r="H152" s="11" t="str">
        <f aca="false">IF($B152="","",IF($E152&lt;&gt;"",$E152,$L151*Calculator!$B$5*$F152/Calculator!$B$7))</f>
        <v/>
      </c>
      <c r="I152" s="11" t="str">
        <f aca="false">IF($B152="","",$L151*Calculator!$B$6*$F152/Calculator!$B$7)</f>
        <v/>
      </c>
      <c r="J152" s="11" t="str">
        <f aca="false">IF($B152="","",MAX(0,$H152-$I152))</f>
        <v/>
      </c>
      <c r="K152" s="11" t="str">
        <f aca="false">IF($B152="","",IF($D152&lt;&gt;"",$D152,$G152-$H152))</f>
        <v/>
      </c>
      <c r="L152" s="11" t="str">
        <f aca="false">IF($B152="","",$L151-$K152)</f>
        <v/>
      </c>
      <c r="M152" s="5"/>
    </row>
    <row r="153" customFormat="false" ht="15" hidden="false" customHeight="false" outlineLevel="0" collapsed="false">
      <c r="A153" s="20" t="n">
        <v>147</v>
      </c>
      <c r="B153" s="8"/>
      <c r="C153" s="5"/>
      <c r="D153" s="5"/>
      <c r="E153" s="5"/>
      <c r="F153" s="21" t="str">
        <f aca="false">IF($B153="","",$B153-$B152)</f>
        <v/>
      </c>
      <c r="G153" s="11" t="str">
        <f aca="false">IF($B153="","",IF($C153&lt;&gt;"",$C153,N($D153)+N($E153)))</f>
        <v/>
      </c>
      <c r="H153" s="11" t="str">
        <f aca="false">IF($B153="","",IF($E153&lt;&gt;"",$E153,$L152*Calculator!$B$5*$F153/Calculator!$B$7))</f>
        <v/>
      </c>
      <c r="I153" s="11" t="str">
        <f aca="false">IF($B153="","",$L152*Calculator!$B$6*$F153/Calculator!$B$7)</f>
        <v/>
      </c>
      <c r="J153" s="11" t="str">
        <f aca="false">IF($B153="","",MAX(0,$H153-$I153))</f>
        <v/>
      </c>
      <c r="K153" s="11" t="str">
        <f aca="false">IF($B153="","",IF($D153&lt;&gt;"",$D153,$G153-$H153))</f>
        <v/>
      </c>
      <c r="L153" s="11" t="str">
        <f aca="false">IF($B153="","",$L152-$K153)</f>
        <v/>
      </c>
      <c r="M153" s="5"/>
    </row>
    <row r="154" customFormat="false" ht="15" hidden="false" customHeight="false" outlineLevel="0" collapsed="false">
      <c r="A154" s="20" t="n">
        <v>148</v>
      </c>
      <c r="B154" s="8"/>
      <c r="C154" s="5"/>
      <c r="D154" s="5"/>
      <c r="E154" s="5"/>
      <c r="F154" s="21" t="str">
        <f aca="false">IF($B154="","",$B154-$B153)</f>
        <v/>
      </c>
      <c r="G154" s="11" t="str">
        <f aca="false">IF($B154="","",IF($C154&lt;&gt;"",$C154,N($D154)+N($E154)))</f>
        <v/>
      </c>
      <c r="H154" s="11" t="str">
        <f aca="false">IF($B154="","",IF($E154&lt;&gt;"",$E154,$L153*Calculator!$B$5*$F154/Calculator!$B$7))</f>
        <v/>
      </c>
      <c r="I154" s="11" t="str">
        <f aca="false">IF($B154="","",$L153*Calculator!$B$6*$F154/Calculator!$B$7)</f>
        <v/>
      </c>
      <c r="J154" s="11" t="str">
        <f aca="false">IF($B154="","",MAX(0,$H154-$I154))</f>
        <v/>
      </c>
      <c r="K154" s="11" t="str">
        <f aca="false">IF($B154="","",IF($D154&lt;&gt;"",$D154,$G154-$H154))</f>
        <v/>
      </c>
      <c r="L154" s="11" t="str">
        <f aca="false">IF($B154="","",$L153-$K154)</f>
        <v/>
      </c>
      <c r="M154" s="5"/>
    </row>
    <row r="155" customFormat="false" ht="15" hidden="false" customHeight="false" outlineLevel="0" collapsed="false">
      <c r="A155" s="20" t="n">
        <v>149</v>
      </c>
      <c r="B155" s="8"/>
      <c r="C155" s="5"/>
      <c r="D155" s="5"/>
      <c r="E155" s="5"/>
      <c r="F155" s="21" t="str">
        <f aca="false">IF($B155="","",$B155-$B154)</f>
        <v/>
      </c>
      <c r="G155" s="11" t="str">
        <f aca="false">IF($B155="","",IF($C155&lt;&gt;"",$C155,N($D155)+N($E155)))</f>
        <v/>
      </c>
      <c r="H155" s="11" t="str">
        <f aca="false">IF($B155="","",IF($E155&lt;&gt;"",$E155,$L154*Calculator!$B$5*$F155/Calculator!$B$7))</f>
        <v/>
      </c>
      <c r="I155" s="11" t="str">
        <f aca="false">IF($B155="","",$L154*Calculator!$B$6*$F155/Calculator!$B$7)</f>
        <v/>
      </c>
      <c r="J155" s="11" t="str">
        <f aca="false">IF($B155="","",MAX(0,$H155-$I155))</f>
        <v/>
      </c>
      <c r="K155" s="11" t="str">
        <f aca="false">IF($B155="","",IF($D155&lt;&gt;"",$D155,$G155-$H155))</f>
        <v/>
      </c>
      <c r="L155" s="11" t="str">
        <f aca="false">IF($B155="","",$L154-$K155)</f>
        <v/>
      </c>
      <c r="M155" s="5"/>
    </row>
    <row r="156" customFormat="false" ht="15" hidden="false" customHeight="false" outlineLevel="0" collapsed="false">
      <c r="A156" s="20" t="n">
        <v>150</v>
      </c>
      <c r="B156" s="8"/>
      <c r="C156" s="5"/>
      <c r="D156" s="5"/>
      <c r="E156" s="5"/>
      <c r="F156" s="21" t="str">
        <f aca="false">IF($B156="","",$B156-$B155)</f>
        <v/>
      </c>
      <c r="G156" s="11" t="str">
        <f aca="false">IF($B156="","",IF($C156&lt;&gt;"",$C156,N($D156)+N($E156)))</f>
        <v/>
      </c>
      <c r="H156" s="11" t="str">
        <f aca="false">IF($B156="","",IF($E156&lt;&gt;"",$E156,$L155*Calculator!$B$5*$F156/Calculator!$B$7))</f>
        <v/>
      </c>
      <c r="I156" s="11" t="str">
        <f aca="false">IF($B156="","",$L155*Calculator!$B$6*$F156/Calculator!$B$7)</f>
        <v/>
      </c>
      <c r="J156" s="11" t="str">
        <f aca="false">IF($B156="","",MAX(0,$H156-$I156))</f>
        <v/>
      </c>
      <c r="K156" s="11" t="str">
        <f aca="false">IF($B156="","",IF($D156&lt;&gt;"",$D156,$G156-$H156))</f>
        <v/>
      </c>
      <c r="L156" s="11" t="str">
        <f aca="false">IF($B156="","",$L155-$K156)</f>
        <v/>
      </c>
      <c r="M156" s="5"/>
    </row>
    <row r="157" customFormat="false" ht="15" hidden="false" customHeight="false" outlineLevel="0" collapsed="false">
      <c r="A157" s="20" t="n">
        <v>151</v>
      </c>
      <c r="B157" s="8"/>
      <c r="C157" s="5"/>
      <c r="D157" s="5"/>
      <c r="E157" s="5"/>
      <c r="F157" s="21" t="str">
        <f aca="false">IF($B157="","",$B157-$B156)</f>
        <v/>
      </c>
      <c r="G157" s="11" t="str">
        <f aca="false">IF($B157="","",IF($C157&lt;&gt;"",$C157,N($D157)+N($E157)))</f>
        <v/>
      </c>
      <c r="H157" s="11" t="str">
        <f aca="false">IF($B157="","",IF($E157&lt;&gt;"",$E157,$L156*Calculator!$B$5*$F157/Calculator!$B$7))</f>
        <v/>
      </c>
      <c r="I157" s="11" t="str">
        <f aca="false">IF($B157="","",$L156*Calculator!$B$6*$F157/Calculator!$B$7)</f>
        <v/>
      </c>
      <c r="J157" s="11" t="str">
        <f aca="false">IF($B157="","",MAX(0,$H157-$I157))</f>
        <v/>
      </c>
      <c r="K157" s="11" t="str">
        <f aca="false">IF($B157="","",IF($D157&lt;&gt;"",$D157,$G157-$H157))</f>
        <v/>
      </c>
      <c r="L157" s="11" t="str">
        <f aca="false">IF($B157="","",$L156-$K157)</f>
        <v/>
      </c>
      <c r="M157" s="5"/>
    </row>
    <row r="158" customFormat="false" ht="15" hidden="false" customHeight="false" outlineLevel="0" collapsed="false">
      <c r="A158" s="20" t="n">
        <v>152</v>
      </c>
      <c r="B158" s="8"/>
      <c r="C158" s="5"/>
      <c r="D158" s="5"/>
      <c r="E158" s="5"/>
      <c r="F158" s="21" t="str">
        <f aca="false">IF($B158="","",$B158-$B157)</f>
        <v/>
      </c>
      <c r="G158" s="11" t="str">
        <f aca="false">IF($B158="","",IF($C158&lt;&gt;"",$C158,N($D158)+N($E158)))</f>
        <v/>
      </c>
      <c r="H158" s="11" t="str">
        <f aca="false">IF($B158="","",IF($E158&lt;&gt;"",$E158,$L157*Calculator!$B$5*$F158/Calculator!$B$7))</f>
        <v/>
      </c>
      <c r="I158" s="11" t="str">
        <f aca="false">IF($B158="","",$L157*Calculator!$B$6*$F158/Calculator!$B$7)</f>
        <v/>
      </c>
      <c r="J158" s="11" t="str">
        <f aca="false">IF($B158="","",MAX(0,$H158-$I158))</f>
        <v/>
      </c>
      <c r="K158" s="11" t="str">
        <f aca="false">IF($B158="","",IF($D158&lt;&gt;"",$D158,$G158-$H158))</f>
        <v/>
      </c>
      <c r="L158" s="11" t="str">
        <f aca="false">IF($B158="","",$L157-$K158)</f>
        <v/>
      </c>
      <c r="M158" s="5"/>
    </row>
    <row r="159" customFormat="false" ht="15" hidden="false" customHeight="false" outlineLevel="0" collapsed="false">
      <c r="A159" s="20" t="n">
        <v>153</v>
      </c>
      <c r="B159" s="8"/>
      <c r="C159" s="5"/>
      <c r="D159" s="5"/>
      <c r="E159" s="5"/>
      <c r="F159" s="21" t="str">
        <f aca="false">IF($B159="","",$B159-$B158)</f>
        <v/>
      </c>
      <c r="G159" s="11" t="str">
        <f aca="false">IF($B159="","",IF($C159&lt;&gt;"",$C159,N($D159)+N($E159)))</f>
        <v/>
      </c>
      <c r="H159" s="11" t="str">
        <f aca="false">IF($B159="","",IF($E159&lt;&gt;"",$E159,$L158*Calculator!$B$5*$F159/Calculator!$B$7))</f>
        <v/>
      </c>
      <c r="I159" s="11" t="str">
        <f aca="false">IF($B159="","",$L158*Calculator!$B$6*$F159/Calculator!$B$7)</f>
        <v/>
      </c>
      <c r="J159" s="11" t="str">
        <f aca="false">IF($B159="","",MAX(0,$H159-$I159))</f>
        <v/>
      </c>
      <c r="K159" s="11" t="str">
        <f aca="false">IF($B159="","",IF($D159&lt;&gt;"",$D159,$G159-$H159))</f>
        <v/>
      </c>
      <c r="L159" s="11" t="str">
        <f aca="false">IF($B159="","",$L158-$K159)</f>
        <v/>
      </c>
      <c r="M159" s="5"/>
    </row>
    <row r="160" customFormat="false" ht="15" hidden="false" customHeight="false" outlineLevel="0" collapsed="false">
      <c r="A160" s="20" t="n">
        <v>154</v>
      </c>
      <c r="B160" s="8"/>
      <c r="C160" s="5"/>
      <c r="D160" s="5"/>
      <c r="E160" s="5"/>
      <c r="F160" s="21" t="str">
        <f aca="false">IF($B160="","",$B160-$B159)</f>
        <v/>
      </c>
      <c r="G160" s="11" t="str">
        <f aca="false">IF($B160="","",IF($C160&lt;&gt;"",$C160,N($D160)+N($E160)))</f>
        <v/>
      </c>
      <c r="H160" s="11" t="str">
        <f aca="false">IF($B160="","",IF($E160&lt;&gt;"",$E160,$L159*Calculator!$B$5*$F160/Calculator!$B$7))</f>
        <v/>
      </c>
      <c r="I160" s="11" t="str">
        <f aca="false">IF($B160="","",$L159*Calculator!$B$6*$F160/Calculator!$B$7)</f>
        <v/>
      </c>
      <c r="J160" s="11" t="str">
        <f aca="false">IF($B160="","",MAX(0,$H160-$I160))</f>
        <v/>
      </c>
      <c r="K160" s="11" t="str">
        <f aca="false">IF($B160="","",IF($D160&lt;&gt;"",$D160,$G160-$H160))</f>
        <v/>
      </c>
      <c r="L160" s="11" t="str">
        <f aca="false">IF($B160="","",$L159-$K160)</f>
        <v/>
      </c>
      <c r="M160" s="5"/>
    </row>
    <row r="161" customFormat="false" ht="15" hidden="false" customHeight="false" outlineLevel="0" collapsed="false">
      <c r="A161" s="20" t="n">
        <v>155</v>
      </c>
      <c r="B161" s="8"/>
      <c r="C161" s="5"/>
      <c r="D161" s="5"/>
      <c r="E161" s="5"/>
      <c r="F161" s="21" t="str">
        <f aca="false">IF($B161="","",$B161-$B160)</f>
        <v/>
      </c>
      <c r="G161" s="11" t="str">
        <f aca="false">IF($B161="","",IF($C161&lt;&gt;"",$C161,N($D161)+N($E161)))</f>
        <v/>
      </c>
      <c r="H161" s="11" t="str">
        <f aca="false">IF($B161="","",IF($E161&lt;&gt;"",$E161,$L160*Calculator!$B$5*$F161/Calculator!$B$7))</f>
        <v/>
      </c>
      <c r="I161" s="11" t="str">
        <f aca="false">IF($B161="","",$L160*Calculator!$B$6*$F161/Calculator!$B$7)</f>
        <v/>
      </c>
      <c r="J161" s="11" t="str">
        <f aca="false">IF($B161="","",MAX(0,$H161-$I161))</f>
        <v/>
      </c>
      <c r="K161" s="11" t="str">
        <f aca="false">IF($B161="","",IF($D161&lt;&gt;"",$D161,$G161-$H161))</f>
        <v/>
      </c>
      <c r="L161" s="11" t="str">
        <f aca="false">IF($B161="","",$L160-$K161)</f>
        <v/>
      </c>
      <c r="M161" s="5"/>
    </row>
    <row r="162" customFormat="false" ht="15" hidden="false" customHeight="false" outlineLevel="0" collapsed="false">
      <c r="A162" s="20" t="n">
        <v>156</v>
      </c>
      <c r="B162" s="8"/>
      <c r="C162" s="5"/>
      <c r="D162" s="5"/>
      <c r="E162" s="5"/>
      <c r="F162" s="21" t="str">
        <f aca="false">IF($B162="","",$B162-$B161)</f>
        <v/>
      </c>
      <c r="G162" s="11" t="str">
        <f aca="false">IF($B162="","",IF($C162&lt;&gt;"",$C162,N($D162)+N($E162)))</f>
        <v/>
      </c>
      <c r="H162" s="11" t="str">
        <f aca="false">IF($B162="","",IF($E162&lt;&gt;"",$E162,$L161*Calculator!$B$5*$F162/Calculator!$B$7))</f>
        <v/>
      </c>
      <c r="I162" s="11" t="str">
        <f aca="false">IF($B162="","",$L161*Calculator!$B$6*$F162/Calculator!$B$7)</f>
        <v/>
      </c>
      <c r="J162" s="11" t="str">
        <f aca="false">IF($B162="","",MAX(0,$H162-$I162))</f>
        <v/>
      </c>
      <c r="K162" s="11" t="str">
        <f aca="false">IF($B162="","",IF($D162&lt;&gt;"",$D162,$G162-$H162))</f>
        <v/>
      </c>
      <c r="L162" s="11" t="str">
        <f aca="false">IF($B162="","",$L161-$K162)</f>
        <v/>
      </c>
      <c r="M162" s="5"/>
    </row>
    <row r="163" customFormat="false" ht="15" hidden="false" customHeight="false" outlineLevel="0" collapsed="false">
      <c r="A163" s="20" t="n">
        <v>157</v>
      </c>
      <c r="B163" s="8"/>
      <c r="C163" s="5"/>
      <c r="D163" s="5"/>
      <c r="E163" s="5"/>
      <c r="F163" s="21" t="str">
        <f aca="false">IF($B163="","",$B163-$B162)</f>
        <v/>
      </c>
      <c r="G163" s="11" t="str">
        <f aca="false">IF($B163="","",IF($C163&lt;&gt;"",$C163,N($D163)+N($E163)))</f>
        <v/>
      </c>
      <c r="H163" s="11" t="str">
        <f aca="false">IF($B163="","",IF($E163&lt;&gt;"",$E163,$L162*Calculator!$B$5*$F163/Calculator!$B$7))</f>
        <v/>
      </c>
      <c r="I163" s="11" t="str">
        <f aca="false">IF($B163="","",$L162*Calculator!$B$6*$F163/Calculator!$B$7)</f>
        <v/>
      </c>
      <c r="J163" s="11" t="str">
        <f aca="false">IF($B163="","",MAX(0,$H163-$I163))</f>
        <v/>
      </c>
      <c r="K163" s="11" t="str">
        <f aca="false">IF($B163="","",IF($D163&lt;&gt;"",$D163,$G163-$H163))</f>
        <v/>
      </c>
      <c r="L163" s="11" t="str">
        <f aca="false">IF($B163="","",$L162-$K163)</f>
        <v/>
      </c>
      <c r="M163" s="5"/>
    </row>
    <row r="164" customFormat="false" ht="15" hidden="false" customHeight="false" outlineLevel="0" collapsed="false">
      <c r="A164" s="20" t="n">
        <v>158</v>
      </c>
      <c r="B164" s="8"/>
      <c r="C164" s="5"/>
      <c r="D164" s="5"/>
      <c r="E164" s="5"/>
      <c r="F164" s="21" t="str">
        <f aca="false">IF($B164="","",$B164-$B163)</f>
        <v/>
      </c>
      <c r="G164" s="11" t="str">
        <f aca="false">IF($B164="","",IF($C164&lt;&gt;"",$C164,N($D164)+N($E164)))</f>
        <v/>
      </c>
      <c r="H164" s="11" t="str">
        <f aca="false">IF($B164="","",IF($E164&lt;&gt;"",$E164,$L163*Calculator!$B$5*$F164/Calculator!$B$7))</f>
        <v/>
      </c>
      <c r="I164" s="11" t="str">
        <f aca="false">IF($B164="","",$L163*Calculator!$B$6*$F164/Calculator!$B$7)</f>
        <v/>
      </c>
      <c r="J164" s="11" t="str">
        <f aca="false">IF($B164="","",MAX(0,$H164-$I164))</f>
        <v/>
      </c>
      <c r="K164" s="11" t="str">
        <f aca="false">IF($B164="","",IF($D164&lt;&gt;"",$D164,$G164-$H164))</f>
        <v/>
      </c>
      <c r="L164" s="11" t="str">
        <f aca="false">IF($B164="","",$L163-$K164)</f>
        <v/>
      </c>
      <c r="M164" s="5"/>
    </row>
    <row r="165" customFormat="false" ht="15" hidden="false" customHeight="false" outlineLevel="0" collapsed="false">
      <c r="A165" s="20" t="n">
        <v>159</v>
      </c>
      <c r="B165" s="8"/>
      <c r="C165" s="5"/>
      <c r="D165" s="5"/>
      <c r="E165" s="5"/>
      <c r="F165" s="21" t="str">
        <f aca="false">IF($B165="","",$B165-$B164)</f>
        <v/>
      </c>
      <c r="G165" s="11" t="str">
        <f aca="false">IF($B165="","",IF($C165&lt;&gt;"",$C165,N($D165)+N($E165)))</f>
        <v/>
      </c>
      <c r="H165" s="11" t="str">
        <f aca="false">IF($B165="","",IF($E165&lt;&gt;"",$E165,$L164*Calculator!$B$5*$F165/Calculator!$B$7))</f>
        <v/>
      </c>
      <c r="I165" s="11" t="str">
        <f aca="false">IF($B165="","",$L164*Calculator!$B$6*$F165/Calculator!$B$7)</f>
        <v/>
      </c>
      <c r="J165" s="11" t="str">
        <f aca="false">IF($B165="","",MAX(0,$H165-$I165))</f>
        <v/>
      </c>
      <c r="K165" s="11" t="str">
        <f aca="false">IF($B165="","",IF($D165&lt;&gt;"",$D165,$G165-$H165))</f>
        <v/>
      </c>
      <c r="L165" s="11" t="str">
        <f aca="false">IF($B165="","",$L164-$K165)</f>
        <v/>
      </c>
      <c r="M165" s="5"/>
    </row>
    <row r="166" customFormat="false" ht="15" hidden="false" customHeight="false" outlineLevel="0" collapsed="false">
      <c r="A166" s="20" t="n">
        <v>160</v>
      </c>
      <c r="B166" s="8"/>
      <c r="C166" s="5"/>
      <c r="D166" s="5"/>
      <c r="E166" s="5"/>
      <c r="F166" s="21" t="str">
        <f aca="false">IF($B166="","",$B166-$B165)</f>
        <v/>
      </c>
      <c r="G166" s="11" t="str">
        <f aca="false">IF($B166="","",IF($C166&lt;&gt;"",$C166,N($D166)+N($E166)))</f>
        <v/>
      </c>
      <c r="H166" s="11" t="str">
        <f aca="false">IF($B166="","",IF($E166&lt;&gt;"",$E166,$L165*Calculator!$B$5*$F166/Calculator!$B$7))</f>
        <v/>
      </c>
      <c r="I166" s="11" t="str">
        <f aca="false">IF($B166="","",$L165*Calculator!$B$6*$F166/Calculator!$B$7)</f>
        <v/>
      </c>
      <c r="J166" s="11" t="str">
        <f aca="false">IF($B166="","",MAX(0,$H166-$I166))</f>
        <v/>
      </c>
      <c r="K166" s="11" t="str">
        <f aca="false">IF($B166="","",IF($D166&lt;&gt;"",$D166,$G166-$H166))</f>
        <v/>
      </c>
      <c r="L166" s="11" t="str">
        <f aca="false">IF($B166="","",$L165-$K166)</f>
        <v/>
      </c>
      <c r="M166" s="5"/>
    </row>
    <row r="167" customFormat="false" ht="15" hidden="false" customHeight="false" outlineLevel="0" collapsed="false">
      <c r="A167" s="20" t="n">
        <v>161</v>
      </c>
      <c r="B167" s="8"/>
      <c r="C167" s="5"/>
      <c r="D167" s="5"/>
      <c r="E167" s="5"/>
      <c r="F167" s="21" t="str">
        <f aca="false">IF($B167="","",$B167-$B166)</f>
        <v/>
      </c>
      <c r="G167" s="11" t="str">
        <f aca="false">IF($B167="","",IF($C167&lt;&gt;"",$C167,N($D167)+N($E167)))</f>
        <v/>
      </c>
      <c r="H167" s="11" t="str">
        <f aca="false">IF($B167="","",IF($E167&lt;&gt;"",$E167,$L166*Calculator!$B$5*$F167/Calculator!$B$7))</f>
        <v/>
      </c>
      <c r="I167" s="11" t="str">
        <f aca="false">IF($B167="","",$L166*Calculator!$B$6*$F167/Calculator!$B$7)</f>
        <v/>
      </c>
      <c r="J167" s="11" t="str">
        <f aca="false">IF($B167="","",MAX(0,$H167-$I167))</f>
        <v/>
      </c>
      <c r="K167" s="11" t="str">
        <f aca="false">IF($B167="","",IF($D167&lt;&gt;"",$D167,$G167-$H167))</f>
        <v/>
      </c>
      <c r="L167" s="11" t="str">
        <f aca="false">IF($B167="","",$L166-$K167)</f>
        <v/>
      </c>
      <c r="M167" s="5"/>
    </row>
    <row r="168" customFormat="false" ht="15" hidden="false" customHeight="false" outlineLevel="0" collapsed="false">
      <c r="A168" s="20" t="n">
        <v>162</v>
      </c>
      <c r="B168" s="8"/>
      <c r="C168" s="5"/>
      <c r="D168" s="5"/>
      <c r="E168" s="5"/>
      <c r="F168" s="21" t="str">
        <f aca="false">IF($B168="","",$B168-$B167)</f>
        <v/>
      </c>
      <c r="G168" s="11" t="str">
        <f aca="false">IF($B168="","",IF($C168&lt;&gt;"",$C168,N($D168)+N($E168)))</f>
        <v/>
      </c>
      <c r="H168" s="11" t="str">
        <f aca="false">IF($B168="","",IF($E168&lt;&gt;"",$E168,$L167*Calculator!$B$5*$F168/Calculator!$B$7))</f>
        <v/>
      </c>
      <c r="I168" s="11" t="str">
        <f aca="false">IF($B168="","",$L167*Calculator!$B$6*$F168/Calculator!$B$7)</f>
        <v/>
      </c>
      <c r="J168" s="11" t="str">
        <f aca="false">IF($B168="","",MAX(0,$H168-$I168))</f>
        <v/>
      </c>
      <c r="K168" s="11" t="str">
        <f aca="false">IF($B168="","",IF($D168&lt;&gt;"",$D168,$G168-$H168))</f>
        <v/>
      </c>
      <c r="L168" s="11" t="str">
        <f aca="false">IF($B168="","",$L167-$K168)</f>
        <v/>
      </c>
      <c r="M168" s="5"/>
    </row>
    <row r="169" customFormat="false" ht="15" hidden="false" customHeight="false" outlineLevel="0" collapsed="false">
      <c r="A169" s="20" t="n">
        <v>163</v>
      </c>
      <c r="B169" s="8"/>
      <c r="C169" s="5"/>
      <c r="D169" s="5"/>
      <c r="E169" s="5"/>
      <c r="F169" s="21" t="str">
        <f aca="false">IF($B169="","",$B169-$B168)</f>
        <v/>
      </c>
      <c r="G169" s="11" t="str">
        <f aca="false">IF($B169="","",IF($C169&lt;&gt;"",$C169,N($D169)+N($E169)))</f>
        <v/>
      </c>
      <c r="H169" s="11" t="str">
        <f aca="false">IF($B169="","",IF($E169&lt;&gt;"",$E169,$L168*Calculator!$B$5*$F169/Calculator!$B$7))</f>
        <v/>
      </c>
      <c r="I169" s="11" t="str">
        <f aca="false">IF($B169="","",$L168*Calculator!$B$6*$F169/Calculator!$B$7)</f>
        <v/>
      </c>
      <c r="J169" s="11" t="str">
        <f aca="false">IF($B169="","",MAX(0,$H169-$I169))</f>
        <v/>
      </c>
      <c r="K169" s="11" t="str">
        <f aca="false">IF($B169="","",IF($D169&lt;&gt;"",$D169,$G169-$H169))</f>
        <v/>
      </c>
      <c r="L169" s="11" t="str">
        <f aca="false">IF($B169="","",$L168-$K169)</f>
        <v/>
      </c>
      <c r="M169" s="5"/>
    </row>
    <row r="170" customFormat="false" ht="15" hidden="false" customHeight="false" outlineLevel="0" collapsed="false">
      <c r="A170" s="20" t="n">
        <v>164</v>
      </c>
      <c r="B170" s="8"/>
      <c r="C170" s="5"/>
      <c r="D170" s="5"/>
      <c r="E170" s="5"/>
      <c r="F170" s="21" t="str">
        <f aca="false">IF($B170="","",$B170-$B169)</f>
        <v/>
      </c>
      <c r="G170" s="11" t="str">
        <f aca="false">IF($B170="","",IF($C170&lt;&gt;"",$C170,N($D170)+N($E170)))</f>
        <v/>
      </c>
      <c r="H170" s="11" t="str">
        <f aca="false">IF($B170="","",IF($E170&lt;&gt;"",$E170,$L169*Calculator!$B$5*$F170/Calculator!$B$7))</f>
        <v/>
      </c>
      <c r="I170" s="11" t="str">
        <f aca="false">IF($B170="","",$L169*Calculator!$B$6*$F170/Calculator!$B$7)</f>
        <v/>
      </c>
      <c r="J170" s="11" t="str">
        <f aca="false">IF($B170="","",MAX(0,$H170-$I170))</f>
        <v/>
      </c>
      <c r="K170" s="11" t="str">
        <f aca="false">IF($B170="","",IF($D170&lt;&gt;"",$D170,$G170-$H170))</f>
        <v/>
      </c>
      <c r="L170" s="11" t="str">
        <f aca="false">IF($B170="","",$L169-$K170)</f>
        <v/>
      </c>
      <c r="M170" s="5"/>
    </row>
    <row r="171" customFormat="false" ht="15" hidden="false" customHeight="false" outlineLevel="0" collapsed="false">
      <c r="A171" s="20" t="n">
        <v>165</v>
      </c>
      <c r="B171" s="8"/>
      <c r="C171" s="5"/>
      <c r="D171" s="5"/>
      <c r="E171" s="5"/>
      <c r="F171" s="21" t="str">
        <f aca="false">IF($B171="","",$B171-$B170)</f>
        <v/>
      </c>
      <c r="G171" s="11" t="str">
        <f aca="false">IF($B171="","",IF($C171&lt;&gt;"",$C171,N($D171)+N($E171)))</f>
        <v/>
      </c>
      <c r="H171" s="11" t="str">
        <f aca="false">IF($B171="","",IF($E171&lt;&gt;"",$E171,$L170*Calculator!$B$5*$F171/Calculator!$B$7))</f>
        <v/>
      </c>
      <c r="I171" s="11" t="str">
        <f aca="false">IF($B171="","",$L170*Calculator!$B$6*$F171/Calculator!$B$7)</f>
        <v/>
      </c>
      <c r="J171" s="11" t="str">
        <f aca="false">IF($B171="","",MAX(0,$H171-$I171))</f>
        <v/>
      </c>
      <c r="K171" s="11" t="str">
        <f aca="false">IF($B171="","",IF($D171&lt;&gt;"",$D171,$G171-$H171))</f>
        <v/>
      </c>
      <c r="L171" s="11" t="str">
        <f aca="false">IF($B171="","",$L170-$K171)</f>
        <v/>
      </c>
      <c r="M171" s="5"/>
    </row>
    <row r="172" customFormat="false" ht="15" hidden="false" customHeight="false" outlineLevel="0" collapsed="false">
      <c r="A172" s="20" t="n">
        <v>166</v>
      </c>
      <c r="B172" s="8"/>
      <c r="C172" s="5"/>
      <c r="D172" s="5"/>
      <c r="E172" s="5"/>
      <c r="F172" s="21" t="str">
        <f aca="false">IF($B172="","",$B172-$B171)</f>
        <v/>
      </c>
      <c r="G172" s="11" t="str">
        <f aca="false">IF($B172="","",IF($C172&lt;&gt;"",$C172,N($D172)+N($E172)))</f>
        <v/>
      </c>
      <c r="H172" s="11" t="str">
        <f aca="false">IF($B172="","",IF($E172&lt;&gt;"",$E172,$L171*Calculator!$B$5*$F172/Calculator!$B$7))</f>
        <v/>
      </c>
      <c r="I172" s="11" t="str">
        <f aca="false">IF($B172="","",$L171*Calculator!$B$6*$F172/Calculator!$B$7)</f>
        <v/>
      </c>
      <c r="J172" s="11" t="str">
        <f aca="false">IF($B172="","",MAX(0,$H172-$I172))</f>
        <v/>
      </c>
      <c r="K172" s="11" t="str">
        <f aca="false">IF($B172="","",IF($D172&lt;&gt;"",$D172,$G172-$H172))</f>
        <v/>
      </c>
      <c r="L172" s="11" t="str">
        <f aca="false">IF($B172="","",$L171-$K172)</f>
        <v/>
      </c>
      <c r="M172" s="5"/>
    </row>
    <row r="173" customFormat="false" ht="15" hidden="false" customHeight="false" outlineLevel="0" collapsed="false">
      <c r="A173" s="20" t="n">
        <v>167</v>
      </c>
      <c r="B173" s="8"/>
      <c r="C173" s="5"/>
      <c r="D173" s="5"/>
      <c r="E173" s="5"/>
      <c r="F173" s="21" t="str">
        <f aca="false">IF($B173="","",$B173-$B172)</f>
        <v/>
      </c>
      <c r="G173" s="11" t="str">
        <f aca="false">IF($B173="","",IF($C173&lt;&gt;"",$C173,N($D173)+N($E173)))</f>
        <v/>
      </c>
      <c r="H173" s="11" t="str">
        <f aca="false">IF($B173="","",IF($E173&lt;&gt;"",$E173,$L172*Calculator!$B$5*$F173/Calculator!$B$7))</f>
        <v/>
      </c>
      <c r="I173" s="11" t="str">
        <f aca="false">IF($B173="","",$L172*Calculator!$B$6*$F173/Calculator!$B$7)</f>
        <v/>
      </c>
      <c r="J173" s="11" t="str">
        <f aca="false">IF($B173="","",MAX(0,$H173-$I173))</f>
        <v/>
      </c>
      <c r="K173" s="11" t="str">
        <f aca="false">IF($B173="","",IF($D173&lt;&gt;"",$D173,$G173-$H173))</f>
        <v/>
      </c>
      <c r="L173" s="11" t="str">
        <f aca="false">IF($B173="","",$L172-$K173)</f>
        <v/>
      </c>
      <c r="M173" s="5"/>
    </row>
    <row r="174" customFormat="false" ht="15" hidden="false" customHeight="false" outlineLevel="0" collapsed="false">
      <c r="A174" s="20" t="n">
        <v>168</v>
      </c>
      <c r="B174" s="8"/>
      <c r="C174" s="5"/>
      <c r="D174" s="5"/>
      <c r="E174" s="5"/>
      <c r="F174" s="21" t="str">
        <f aca="false">IF($B174="","",$B174-$B173)</f>
        <v/>
      </c>
      <c r="G174" s="11" t="str">
        <f aca="false">IF($B174="","",IF($C174&lt;&gt;"",$C174,N($D174)+N($E174)))</f>
        <v/>
      </c>
      <c r="H174" s="11" t="str">
        <f aca="false">IF($B174="","",IF($E174&lt;&gt;"",$E174,$L173*Calculator!$B$5*$F174/Calculator!$B$7))</f>
        <v/>
      </c>
      <c r="I174" s="11" t="str">
        <f aca="false">IF($B174="","",$L173*Calculator!$B$6*$F174/Calculator!$B$7)</f>
        <v/>
      </c>
      <c r="J174" s="11" t="str">
        <f aca="false">IF($B174="","",MAX(0,$H174-$I174))</f>
        <v/>
      </c>
      <c r="K174" s="11" t="str">
        <f aca="false">IF($B174="","",IF($D174&lt;&gt;"",$D174,$G174-$H174))</f>
        <v/>
      </c>
      <c r="L174" s="11" t="str">
        <f aca="false">IF($B174="","",$L173-$K174)</f>
        <v/>
      </c>
      <c r="M174" s="5"/>
    </row>
    <row r="175" customFormat="false" ht="15" hidden="false" customHeight="false" outlineLevel="0" collapsed="false">
      <c r="A175" s="20" t="n">
        <v>169</v>
      </c>
      <c r="B175" s="8"/>
      <c r="C175" s="5"/>
      <c r="D175" s="5"/>
      <c r="E175" s="5"/>
      <c r="F175" s="21" t="str">
        <f aca="false">IF($B175="","",$B175-$B174)</f>
        <v/>
      </c>
      <c r="G175" s="11" t="str">
        <f aca="false">IF($B175="","",IF($C175&lt;&gt;"",$C175,N($D175)+N($E175)))</f>
        <v/>
      </c>
      <c r="H175" s="11" t="str">
        <f aca="false">IF($B175="","",IF($E175&lt;&gt;"",$E175,$L174*Calculator!$B$5*$F175/Calculator!$B$7))</f>
        <v/>
      </c>
      <c r="I175" s="11" t="str">
        <f aca="false">IF($B175="","",$L174*Calculator!$B$6*$F175/Calculator!$B$7)</f>
        <v/>
      </c>
      <c r="J175" s="11" t="str">
        <f aca="false">IF($B175="","",MAX(0,$H175-$I175))</f>
        <v/>
      </c>
      <c r="K175" s="11" t="str">
        <f aca="false">IF($B175="","",IF($D175&lt;&gt;"",$D175,$G175-$H175))</f>
        <v/>
      </c>
      <c r="L175" s="11" t="str">
        <f aca="false">IF($B175="","",$L174-$K175)</f>
        <v/>
      </c>
      <c r="M175" s="5"/>
    </row>
    <row r="176" customFormat="false" ht="15" hidden="false" customHeight="false" outlineLevel="0" collapsed="false">
      <c r="A176" s="20" t="n">
        <v>170</v>
      </c>
      <c r="B176" s="8"/>
      <c r="C176" s="5"/>
      <c r="D176" s="5"/>
      <c r="E176" s="5"/>
      <c r="F176" s="21" t="str">
        <f aca="false">IF($B176="","",$B176-$B175)</f>
        <v/>
      </c>
      <c r="G176" s="11" t="str">
        <f aca="false">IF($B176="","",IF($C176&lt;&gt;"",$C176,N($D176)+N($E176)))</f>
        <v/>
      </c>
      <c r="H176" s="11" t="str">
        <f aca="false">IF($B176="","",IF($E176&lt;&gt;"",$E176,$L175*Calculator!$B$5*$F176/Calculator!$B$7))</f>
        <v/>
      </c>
      <c r="I176" s="11" t="str">
        <f aca="false">IF($B176="","",$L175*Calculator!$B$6*$F176/Calculator!$B$7)</f>
        <v/>
      </c>
      <c r="J176" s="11" t="str">
        <f aca="false">IF($B176="","",MAX(0,$H176-$I176))</f>
        <v/>
      </c>
      <c r="K176" s="11" t="str">
        <f aca="false">IF($B176="","",IF($D176&lt;&gt;"",$D176,$G176-$H176))</f>
        <v/>
      </c>
      <c r="L176" s="11" t="str">
        <f aca="false">IF($B176="","",$L175-$K176)</f>
        <v/>
      </c>
      <c r="M176" s="5"/>
    </row>
    <row r="177" customFormat="false" ht="15" hidden="false" customHeight="false" outlineLevel="0" collapsed="false">
      <c r="A177" s="20" t="n">
        <v>171</v>
      </c>
      <c r="B177" s="8"/>
      <c r="C177" s="5"/>
      <c r="D177" s="5"/>
      <c r="E177" s="5"/>
      <c r="F177" s="21" t="str">
        <f aca="false">IF($B177="","",$B177-$B176)</f>
        <v/>
      </c>
      <c r="G177" s="11" t="str">
        <f aca="false">IF($B177="","",IF($C177&lt;&gt;"",$C177,N($D177)+N($E177)))</f>
        <v/>
      </c>
      <c r="H177" s="11" t="str">
        <f aca="false">IF($B177="","",IF($E177&lt;&gt;"",$E177,$L176*Calculator!$B$5*$F177/Calculator!$B$7))</f>
        <v/>
      </c>
      <c r="I177" s="11" t="str">
        <f aca="false">IF($B177="","",$L176*Calculator!$B$6*$F177/Calculator!$B$7)</f>
        <v/>
      </c>
      <c r="J177" s="11" t="str">
        <f aca="false">IF($B177="","",MAX(0,$H177-$I177))</f>
        <v/>
      </c>
      <c r="K177" s="11" t="str">
        <f aca="false">IF($B177="","",IF($D177&lt;&gt;"",$D177,$G177-$H177))</f>
        <v/>
      </c>
      <c r="L177" s="11" t="str">
        <f aca="false">IF($B177="","",$L176-$K177)</f>
        <v/>
      </c>
      <c r="M177" s="5"/>
    </row>
    <row r="178" customFormat="false" ht="15" hidden="false" customHeight="false" outlineLevel="0" collapsed="false">
      <c r="A178" s="20" t="n">
        <v>172</v>
      </c>
      <c r="B178" s="8"/>
      <c r="C178" s="5"/>
      <c r="D178" s="5"/>
      <c r="E178" s="5"/>
      <c r="F178" s="21" t="str">
        <f aca="false">IF($B178="","",$B178-$B177)</f>
        <v/>
      </c>
      <c r="G178" s="11" t="str">
        <f aca="false">IF($B178="","",IF($C178&lt;&gt;"",$C178,N($D178)+N($E178)))</f>
        <v/>
      </c>
      <c r="H178" s="11" t="str">
        <f aca="false">IF($B178="","",IF($E178&lt;&gt;"",$E178,$L177*Calculator!$B$5*$F178/Calculator!$B$7))</f>
        <v/>
      </c>
      <c r="I178" s="11" t="str">
        <f aca="false">IF($B178="","",$L177*Calculator!$B$6*$F178/Calculator!$B$7)</f>
        <v/>
      </c>
      <c r="J178" s="11" t="str">
        <f aca="false">IF($B178="","",MAX(0,$H178-$I178))</f>
        <v/>
      </c>
      <c r="K178" s="11" t="str">
        <f aca="false">IF($B178="","",IF($D178&lt;&gt;"",$D178,$G178-$H178))</f>
        <v/>
      </c>
      <c r="L178" s="11" t="str">
        <f aca="false">IF($B178="","",$L177-$K178)</f>
        <v/>
      </c>
      <c r="M178" s="5"/>
    </row>
    <row r="179" customFormat="false" ht="15" hidden="false" customHeight="false" outlineLevel="0" collapsed="false">
      <c r="A179" s="20" t="n">
        <v>173</v>
      </c>
      <c r="B179" s="8"/>
      <c r="C179" s="5"/>
      <c r="D179" s="5"/>
      <c r="E179" s="5"/>
      <c r="F179" s="21" t="str">
        <f aca="false">IF($B179="","",$B179-$B178)</f>
        <v/>
      </c>
      <c r="G179" s="11" t="str">
        <f aca="false">IF($B179="","",IF($C179&lt;&gt;"",$C179,N($D179)+N($E179)))</f>
        <v/>
      </c>
      <c r="H179" s="11" t="str">
        <f aca="false">IF($B179="","",IF($E179&lt;&gt;"",$E179,$L178*Calculator!$B$5*$F179/Calculator!$B$7))</f>
        <v/>
      </c>
      <c r="I179" s="11" t="str">
        <f aca="false">IF($B179="","",$L178*Calculator!$B$6*$F179/Calculator!$B$7)</f>
        <v/>
      </c>
      <c r="J179" s="11" t="str">
        <f aca="false">IF($B179="","",MAX(0,$H179-$I179))</f>
        <v/>
      </c>
      <c r="K179" s="11" t="str">
        <f aca="false">IF($B179="","",IF($D179&lt;&gt;"",$D179,$G179-$H179))</f>
        <v/>
      </c>
      <c r="L179" s="11" t="str">
        <f aca="false">IF($B179="","",$L178-$K179)</f>
        <v/>
      </c>
      <c r="M179" s="5"/>
    </row>
    <row r="180" customFormat="false" ht="15" hidden="false" customHeight="false" outlineLevel="0" collapsed="false">
      <c r="A180" s="20" t="n">
        <v>174</v>
      </c>
      <c r="B180" s="8"/>
      <c r="C180" s="5"/>
      <c r="D180" s="5"/>
      <c r="E180" s="5"/>
      <c r="F180" s="21" t="str">
        <f aca="false">IF($B180="","",$B180-$B179)</f>
        <v/>
      </c>
      <c r="G180" s="11" t="str">
        <f aca="false">IF($B180="","",IF($C180&lt;&gt;"",$C180,N($D180)+N($E180)))</f>
        <v/>
      </c>
      <c r="H180" s="11" t="str">
        <f aca="false">IF($B180="","",IF($E180&lt;&gt;"",$E180,$L179*Calculator!$B$5*$F180/Calculator!$B$7))</f>
        <v/>
      </c>
      <c r="I180" s="11" t="str">
        <f aca="false">IF($B180="","",$L179*Calculator!$B$6*$F180/Calculator!$B$7)</f>
        <v/>
      </c>
      <c r="J180" s="11" t="str">
        <f aca="false">IF($B180="","",MAX(0,$H180-$I180))</f>
        <v/>
      </c>
      <c r="K180" s="11" t="str">
        <f aca="false">IF($B180="","",IF($D180&lt;&gt;"",$D180,$G180-$H180))</f>
        <v/>
      </c>
      <c r="L180" s="11" t="str">
        <f aca="false">IF($B180="","",$L179-$K180)</f>
        <v/>
      </c>
      <c r="M180" s="5"/>
    </row>
    <row r="181" customFormat="false" ht="15" hidden="false" customHeight="false" outlineLevel="0" collapsed="false">
      <c r="A181" s="20" t="n">
        <v>175</v>
      </c>
      <c r="B181" s="8"/>
      <c r="C181" s="5"/>
      <c r="D181" s="5"/>
      <c r="E181" s="5"/>
      <c r="F181" s="21" t="str">
        <f aca="false">IF($B181="","",$B181-$B180)</f>
        <v/>
      </c>
      <c r="G181" s="11" t="str">
        <f aca="false">IF($B181="","",IF($C181&lt;&gt;"",$C181,N($D181)+N($E181)))</f>
        <v/>
      </c>
      <c r="H181" s="11" t="str">
        <f aca="false">IF($B181="","",IF($E181&lt;&gt;"",$E181,$L180*Calculator!$B$5*$F181/Calculator!$B$7))</f>
        <v/>
      </c>
      <c r="I181" s="11" t="str">
        <f aca="false">IF($B181="","",$L180*Calculator!$B$6*$F181/Calculator!$B$7)</f>
        <v/>
      </c>
      <c r="J181" s="11" t="str">
        <f aca="false">IF($B181="","",MAX(0,$H181-$I181))</f>
        <v/>
      </c>
      <c r="K181" s="11" t="str">
        <f aca="false">IF($B181="","",IF($D181&lt;&gt;"",$D181,$G181-$H181))</f>
        <v/>
      </c>
      <c r="L181" s="11" t="str">
        <f aca="false">IF($B181="","",$L180-$K181)</f>
        <v/>
      </c>
      <c r="M181" s="5"/>
    </row>
    <row r="182" customFormat="false" ht="15" hidden="false" customHeight="false" outlineLevel="0" collapsed="false">
      <c r="A182" s="20" t="n">
        <v>176</v>
      </c>
      <c r="B182" s="8"/>
      <c r="C182" s="5"/>
      <c r="D182" s="5"/>
      <c r="E182" s="5"/>
      <c r="F182" s="21" t="str">
        <f aca="false">IF($B182="","",$B182-$B181)</f>
        <v/>
      </c>
      <c r="G182" s="11" t="str">
        <f aca="false">IF($B182="","",IF($C182&lt;&gt;"",$C182,N($D182)+N($E182)))</f>
        <v/>
      </c>
      <c r="H182" s="11" t="str">
        <f aca="false">IF($B182="","",IF($E182&lt;&gt;"",$E182,$L181*Calculator!$B$5*$F182/Calculator!$B$7))</f>
        <v/>
      </c>
      <c r="I182" s="11" t="str">
        <f aca="false">IF($B182="","",$L181*Calculator!$B$6*$F182/Calculator!$B$7)</f>
        <v/>
      </c>
      <c r="J182" s="11" t="str">
        <f aca="false">IF($B182="","",MAX(0,$H182-$I182))</f>
        <v/>
      </c>
      <c r="K182" s="11" t="str">
        <f aca="false">IF($B182="","",IF($D182&lt;&gt;"",$D182,$G182-$H182))</f>
        <v/>
      </c>
      <c r="L182" s="11" t="str">
        <f aca="false">IF($B182="","",$L181-$K182)</f>
        <v/>
      </c>
      <c r="M182" s="5"/>
    </row>
    <row r="183" customFormat="false" ht="15" hidden="false" customHeight="false" outlineLevel="0" collapsed="false">
      <c r="A183" s="20" t="n">
        <v>177</v>
      </c>
      <c r="B183" s="8"/>
      <c r="C183" s="5"/>
      <c r="D183" s="5"/>
      <c r="E183" s="5"/>
      <c r="F183" s="21" t="str">
        <f aca="false">IF($B183="","",$B183-$B182)</f>
        <v/>
      </c>
      <c r="G183" s="11" t="str">
        <f aca="false">IF($B183="","",IF($C183&lt;&gt;"",$C183,N($D183)+N($E183)))</f>
        <v/>
      </c>
      <c r="H183" s="11" t="str">
        <f aca="false">IF($B183="","",IF($E183&lt;&gt;"",$E183,$L182*Calculator!$B$5*$F183/Calculator!$B$7))</f>
        <v/>
      </c>
      <c r="I183" s="11" t="str">
        <f aca="false">IF($B183="","",$L182*Calculator!$B$6*$F183/Calculator!$B$7)</f>
        <v/>
      </c>
      <c r="J183" s="11" t="str">
        <f aca="false">IF($B183="","",MAX(0,$H183-$I183))</f>
        <v/>
      </c>
      <c r="K183" s="11" t="str">
        <f aca="false">IF($B183="","",IF($D183&lt;&gt;"",$D183,$G183-$H183))</f>
        <v/>
      </c>
      <c r="L183" s="11" t="str">
        <f aca="false">IF($B183="","",$L182-$K183)</f>
        <v/>
      </c>
      <c r="M183" s="5"/>
    </row>
    <row r="184" customFormat="false" ht="15" hidden="false" customHeight="false" outlineLevel="0" collapsed="false">
      <c r="A184" s="20" t="n">
        <v>178</v>
      </c>
      <c r="B184" s="8"/>
      <c r="C184" s="5"/>
      <c r="D184" s="5"/>
      <c r="E184" s="5"/>
      <c r="F184" s="21" t="str">
        <f aca="false">IF($B184="","",$B184-$B183)</f>
        <v/>
      </c>
      <c r="G184" s="11" t="str">
        <f aca="false">IF($B184="","",IF($C184&lt;&gt;"",$C184,N($D184)+N($E184)))</f>
        <v/>
      </c>
      <c r="H184" s="11" t="str">
        <f aca="false">IF($B184="","",IF($E184&lt;&gt;"",$E184,$L183*Calculator!$B$5*$F184/Calculator!$B$7))</f>
        <v/>
      </c>
      <c r="I184" s="11" t="str">
        <f aca="false">IF($B184="","",$L183*Calculator!$B$6*$F184/Calculator!$B$7)</f>
        <v/>
      </c>
      <c r="J184" s="11" t="str">
        <f aca="false">IF($B184="","",MAX(0,$H184-$I184))</f>
        <v/>
      </c>
      <c r="K184" s="11" t="str">
        <f aca="false">IF($B184="","",IF($D184&lt;&gt;"",$D184,$G184-$H184))</f>
        <v/>
      </c>
      <c r="L184" s="11" t="str">
        <f aca="false">IF($B184="","",$L183-$K184)</f>
        <v/>
      </c>
      <c r="M184" s="5"/>
    </row>
    <row r="185" customFormat="false" ht="15" hidden="false" customHeight="false" outlineLevel="0" collapsed="false">
      <c r="A185" s="20" t="n">
        <v>179</v>
      </c>
      <c r="B185" s="8"/>
      <c r="C185" s="5"/>
      <c r="D185" s="5"/>
      <c r="E185" s="5"/>
      <c r="F185" s="21" t="str">
        <f aca="false">IF($B185="","",$B185-$B184)</f>
        <v/>
      </c>
      <c r="G185" s="11" t="str">
        <f aca="false">IF($B185="","",IF($C185&lt;&gt;"",$C185,N($D185)+N($E185)))</f>
        <v/>
      </c>
      <c r="H185" s="11" t="str">
        <f aca="false">IF($B185="","",IF($E185&lt;&gt;"",$E185,$L184*Calculator!$B$5*$F185/Calculator!$B$7))</f>
        <v/>
      </c>
      <c r="I185" s="11" t="str">
        <f aca="false">IF($B185="","",$L184*Calculator!$B$6*$F185/Calculator!$B$7)</f>
        <v/>
      </c>
      <c r="J185" s="11" t="str">
        <f aca="false">IF($B185="","",MAX(0,$H185-$I185))</f>
        <v/>
      </c>
      <c r="K185" s="11" t="str">
        <f aca="false">IF($B185="","",IF($D185&lt;&gt;"",$D185,$G185-$H185))</f>
        <v/>
      </c>
      <c r="L185" s="11" t="str">
        <f aca="false">IF($B185="","",$L184-$K185)</f>
        <v/>
      </c>
      <c r="M185" s="5"/>
    </row>
    <row r="186" customFormat="false" ht="15" hidden="false" customHeight="false" outlineLevel="0" collapsed="false">
      <c r="A186" s="20" t="n">
        <v>180</v>
      </c>
      <c r="B186" s="8"/>
      <c r="C186" s="5"/>
      <c r="D186" s="5"/>
      <c r="E186" s="5"/>
      <c r="F186" s="21" t="str">
        <f aca="false">IF($B186="","",$B186-$B185)</f>
        <v/>
      </c>
      <c r="G186" s="11" t="str">
        <f aca="false">IF($B186="","",IF($C186&lt;&gt;"",$C186,N($D186)+N($E186)))</f>
        <v/>
      </c>
      <c r="H186" s="11" t="str">
        <f aca="false">IF($B186="","",IF($E186&lt;&gt;"",$E186,$L185*Calculator!$B$5*$F186/Calculator!$B$7))</f>
        <v/>
      </c>
      <c r="I186" s="11" t="str">
        <f aca="false">IF($B186="","",$L185*Calculator!$B$6*$F186/Calculator!$B$7)</f>
        <v/>
      </c>
      <c r="J186" s="11" t="str">
        <f aca="false">IF($B186="","",MAX(0,$H186-$I186))</f>
        <v/>
      </c>
      <c r="K186" s="11" t="str">
        <f aca="false">IF($B186="","",IF($D186&lt;&gt;"",$D186,$G186-$H186))</f>
        <v/>
      </c>
      <c r="L186" s="11" t="str">
        <f aca="false">IF($B186="","",$L185-$K186)</f>
        <v/>
      </c>
      <c r="M186" s="5"/>
    </row>
    <row r="187" customFormat="false" ht="15" hidden="false" customHeight="false" outlineLevel="0" collapsed="false">
      <c r="A187" s="20" t="n">
        <v>181</v>
      </c>
      <c r="B187" s="8"/>
      <c r="C187" s="5"/>
      <c r="D187" s="5"/>
      <c r="E187" s="5"/>
      <c r="F187" s="21" t="str">
        <f aca="false">IF($B187="","",$B187-$B186)</f>
        <v/>
      </c>
      <c r="G187" s="11" t="str">
        <f aca="false">IF($B187="","",IF($C187&lt;&gt;"",$C187,N($D187)+N($E187)))</f>
        <v/>
      </c>
      <c r="H187" s="11" t="str">
        <f aca="false">IF($B187="","",IF($E187&lt;&gt;"",$E187,$L186*Calculator!$B$5*$F187/Calculator!$B$7))</f>
        <v/>
      </c>
      <c r="I187" s="11" t="str">
        <f aca="false">IF($B187="","",$L186*Calculator!$B$6*$F187/Calculator!$B$7)</f>
        <v/>
      </c>
      <c r="J187" s="11" t="str">
        <f aca="false">IF($B187="","",MAX(0,$H187-$I187))</f>
        <v/>
      </c>
      <c r="K187" s="11" t="str">
        <f aca="false">IF($B187="","",IF($D187&lt;&gt;"",$D187,$G187-$H187))</f>
        <v/>
      </c>
      <c r="L187" s="11" t="str">
        <f aca="false">IF($B187="","",$L186-$K187)</f>
        <v/>
      </c>
      <c r="M187" s="5"/>
    </row>
    <row r="188" customFormat="false" ht="15" hidden="false" customHeight="false" outlineLevel="0" collapsed="false">
      <c r="A188" s="20" t="n">
        <v>182</v>
      </c>
      <c r="B188" s="8"/>
      <c r="C188" s="5"/>
      <c r="D188" s="5"/>
      <c r="E188" s="5"/>
      <c r="F188" s="21" t="str">
        <f aca="false">IF($B188="","",$B188-$B187)</f>
        <v/>
      </c>
      <c r="G188" s="11" t="str">
        <f aca="false">IF($B188="","",IF($C188&lt;&gt;"",$C188,N($D188)+N($E188)))</f>
        <v/>
      </c>
      <c r="H188" s="11" t="str">
        <f aca="false">IF($B188="","",IF($E188&lt;&gt;"",$E188,$L187*Calculator!$B$5*$F188/Calculator!$B$7))</f>
        <v/>
      </c>
      <c r="I188" s="11" t="str">
        <f aca="false">IF($B188="","",$L187*Calculator!$B$6*$F188/Calculator!$B$7)</f>
        <v/>
      </c>
      <c r="J188" s="11" t="str">
        <f aca="false">IF($B188="","",MAX(0,$H188-$I188))</f>
        <v/>
      </c>
      <c r="K188" s="11" t="str">
        <f aca="false">IF($B188="","",IF($D188&lt;&gt;"",$D188,$G188-$H188))</f>
        <v/>
      </c>
      <c r="L188" s="11" t="str">
        <f aca="false">IF($B188="","",$L187-$K188)</f>
        <v/>
      </c>
      <c r="M188" s="5"/>
    </row>
    <row r="189" customFormat="false" ht="15" hidden="false" customHeight="false" outlineLevel="0" collapsed="false">
      <c r="A189" s="20" t="n">
        <v>183</v>
      </c>
      <c r="B189" s="8"/>
      <c r="C189" s="5"/>
      <c r="D189" s="5"/>
      <c r="E189" s="5"/>
      <c r="F189" s="21" t="str">
        <f aca="false">IF($B189="","",$B189-$B188)</f>
        <v/>
      </c>
      <c r="G189" s="11" t="str">
        <f aca="false">IF($B189="","",IF($C189&lt;&gt;"",$C189,N($D189)+N($E189)))</f>
        <v/>
      </c>
      <c r="H189" s="11" t="str">
        <f aca="false">IF($B189="","",IF($E189&lt;&gt;"",$E189,$L188*Calculator!$B$5*$F189/Calculator!$B$7))</f>
        <v/>
      </c>
      <c r="I189" s="11" t="str">
        <f aca="false">IF($B189="","",$L188*Calculator!$B$6*$F189/Calculator!$B$7)</f>
        <v/>
      </c>
      <c r="J189" s="11" t="str">
        <f aca="false">IF($B189="","",MAX(0,$H189-$I189))</f>
        <v/>
      </c>
      <c r="K189" s="11" t="str">
        <f aca="false">IF($B189="","",IF($D189&lt;&gt;"",$D189,$G189-$H189))</f>
        <v/>
      </c>
      <c r="L189" s="11" t="str">
        <f aca="false">IF($B189="","",$L188-$K189)</f>
        <v/>
      </c>
      <c r="M189" s="5"/>
    </row>
    <row r="190" customFormat="false" ht="15" hidden="false" customHeight="false" outlineLevel="0" collapsed="false">
      <c r="A190" s="20" t="n">
        <v>184</v>
      </c>
      <c r="B190" s="8"/>
      <c r="C190" s="5"/>
      <c r="D190" s="5"/>
      <c r="E190" s="5"/>
      <c r="F190" s="21" t="str">
        <f aca="false">IF($B190="","",$B190-$B189)</f>
        <v/>
      </c>
      <c r="G190" s="11" t="str">
        <f aca="false">IF($B190="","",IF($C190&lt;&gt;"",$C190,N($D190)+N($E190)))</f>
        <v/>
      </c>
      <c r="H190" s="11" t="str">
        <f aca="false">IF($B190="","",IF($E190&lt;&gt;"",$E190,$L189*Calculator!$B$5*$F190/Calculator!$B$7))</f>
        <v/>
      </c>
      <c r="I190" s="11" t="str">
        <f aca="false">IF($B190="","",$L189*Calculator!$B$6*$F190/Calculator!$B$7)</f>
        <v/>
      </c>
      <c r="J190" s="11" t="str">
        <f aca="false">IF($B190="","",MAX(0,$H190-$I190))</f>
        <v/>
      </c>
      <c r="K190" s="11" t="str">
        <f aca="false">IF($B190="","",IF($D190&lt;&gt;"",$D190,$G190-$H190))</f>
        <v/>
      </c>
      <c r="L190" s="11" t="str">
        <f aca="false">IF($B190="","",$L189-$K190)</f>
        <v/>
      </c>
      <c r="M190" s="5"/>
    </row>
    <row r="191" customFormat="false" ht="15" hidden="false" customHeight="false" outlineLevel="0" collapsed="false">
      <c r="A191" s="20" t="n">
        <v>185</v>
      </c>
      <c r="B191" s="8"/>
      <c r="C191" s="5"/>
      <c r="D191" s="5"/>
      <c r="E191" s="5"/>
      <c r="F191" s="21" t="str">
        <f aca="false">IF($B191="","",$B191-$B190)</f>
        <v/>
      </c>
      <c r="G191" s="11" t="str">
        <f aca="false">IF($B191="","",IF($C191&lt;&gt;"",$C191,N($D191)+N($E191)))</f>
        <v/>
      </c>
      <c r="H191" s="11" t="str">
        <f aca="false">IF($B191="","",IF($E191&lt;&gt;"",$E191,$L190*Calculator!$B$5*$F191/Calculator!$B$7))</f>
        <v/>
      </c>
      <c r="I191" s="11" t="str">
        <f aca="false">IF($B191="","",$L190*Calculator!$B$6*$F191/Calculator!$B$7)</f>
        <v/>
      </c>
      <c r="J191" s="11" t="str">
        <f aca="false">IF($B191="","",MAX(0,$H191-$I191))</f>
        <v/>
      </c>
      <c r="K191" s="11" t="str">
        <f aca="false">IF($B191="","",IF($D191&lt;&gt;"",$D191,$G191-$H191))</f>
        <v/>
      </c>
      <c r="L191" s="11" t="str">
        <f aca="false">IF($B191="","",$L190-$K191)</f>
        <v/>
      </c>
      <c r="M191" s="5"/>
    </row>
    <row r="192" customFormat="false" ht="15" hidden="false" customHeight="false" outlineLevel="0" collapsed="false">
      <c r="A192" s="20" t="n">
        <v>186</v>
      </c>
      <c r="B192" s="8"/>
      <c r="C192" s="5"/>
      <c r="D192" s="5"/>
      <c r="E192" s="5"/>
      <c r="F192" s="21" t="str">
        <f aca="false">IF($B192="","",$B192-$B191)</f>
        <v/>
      </c>
      <c r="G192" s="11" t="str">
        <f aca="false">IF($B192="","",IF($C192&lt;&gt;"",$C192,N($D192)+N($E192)))</f>
        <v/>
      </c>
      <c r="H192" s="11" t="str">
        <f aca="false">IF($B192="","",IF($E192&lt;&gt;"",$E192,$L191*Calculator!$B$5*$F192/Calculator!$B$7))</f>
        <v/>
      </c>
      <c r="I192" s="11" t="str">
        <f aca="false">IF($B192="","",$L191*Calculator!$B$6*$F192/Calculator!$B$7)</f>
        <v/>
      </c>
      <c r="J192" s="11" t="str">
        <f aca="false">IF($B192="","",MAX(0,$H192-$I192))</f>
        <v/>
      </c>
      <c r="K192" s="11" t="str">
        <f aca="false">IF($B192="","",IF($D192&lt;&gt;"",$D192,$G192-$H192))</f>
        <v/>
      </c>
      <c r="L192" s="11" t="str">
        <f aca="false">IF($B192="","",$L191-$K192)</f>
        <v/>
      </c>
      <c r="M192" s="5"/>
    </row>
    <row r="193" customFormat="false" ht="15" hidden="false" customHeight="false" outlineLevel="0" collapsed="false">
      <c r="A193" s="20" t="n">
        <v>187</v>
      </c>
      <c r="B193" s="8"/>
      <c r="C193" s="5"/>
      <c r="D193" s="5"/>
      <c r="E193" s="5"/>
      <c r="F193" s="21" t="str">
        <f aca="false">IF($B193="","",$B193-$B192)</f>
        <v/>
      </c>
      <c r="G193" s="11" t="str">
        <f aca="false">IF($B193="","",IF($C193&lt;&gt;"",$C193,N($D193)+N($E193)))</f>
        <v/>
      </c>
      <c r="H193" s="11" t="str">
        <f aca="false">IF($B193="","",IF($E193&lt;&gt;"",$E193,$L192*Calculator!$B$5*$F193/Calculator!$B$7))</f>
        <v/>
      </c>
      <c r="I193" s="11" t="str">
        <f aca="false">IF($B193="","",$L192*Calculator!$B$6*$F193/Calculator!$B$7)</f>
        <v/>
      </c>
      <c r="J193" s="11" t="str">
        <f aca="false">IF($B193="","",MAX(0,$H193-$I193))</f>
        <v/>
      </c>
      <c r="K193" s="11" t="str">
        <f aca="false">IF($B193="","",IF($D193&lt;&gt;"",$D193,$G193-$H193))</f>
        <v/>
      </c>
      <c r="L193" s="11" t="str">
        <f aca="false">IF($B193="","",$L192-$K193)</f>
        <v/>
      </c>
      <c r="M193" s="5"/>
    </row>
    <row r="194" customFormat="false" ht="15" hidden="false" customHeight="false" outlineLevel="0" collapsed="false">
      <c r="A194" s="20" t="n">
        <v>188</v>
      </c>
      <c r="B194" s="8"/>
      <c r="C194" s="5"/>
      <c r="D194" s="5"/>
      <c r="E194" s="5"/>
      <c r="F194" s="21" t="str">
        <f aca="false">IF($B194="","",$B194-$B193)</f>
        <v/>
      </c>
      <c r="G194" s="11" t="str">
        <f aca="false">IF($B194="","",IF($C194&lt;&gt;"",$C194,N($D194)+N($E194)))</f>
        <v/>
      </c>
      <c r="H194" s="11" t="str">
        <f aca="false">IF($B194="","",IF($E194&lt;&gt;"",$E194,$L193*Calculator!$B$5*$F194/Calculator!$B$7))</f>
        <v/>
      </c>
      <c r="I194" s="11" t="str">
        <f aca="false">IF($B194="","",$L193*Calculator!$B$6*$F194/Calculator!$B$7)</f>
        <v/>
      </c>
      <c r="J194" s="11" t="str">
        <f aca="false">IF($B194="","",MAX(0,$H194-$I194))</f>
        <v/>
      </c>
      <c r="K194" s="11" t="str">
        <f aca="false">IF($B194="","",IF($D194&lt;&gt;"",$D194,$G194-$H194))</f>
        <v/>
      </c>
      <c r="L194" s="11" t="str">
        <f aca="false">IF($B194="","",$L193-$K194)</f>
        <v/>
      </c>
      <c r="M194" s="5"/>
    </row>
    <row r="195" customFormat="false" ht="15" hidden="false" customHeight="false" outlineLevel="0" collapsed="false">
      <c r="A195" s="20" t="n">
        <v>189</v>
      </c>
      <c r="B195" s="8"/>
      <c r="C195" s="5"/>
      <c r="D195" s="5"/>
      <c r="E195" s="5"/>
      <c r="F195" s="21" t="str">
        <f aca="false">IF($B195="","",$B195-$B194)</f>
        <v/>
      </c>
      <c r="G195" s="11" t="str">
        <f aca="false">IF($B195="","",IF($C195&lt;&gt;"",$C195,N($D195)+N($E195)))</f>
        <v/>
      </c>
      <c r="H195" s="11" t="str">
        <f aca="false">IF($B195="","",IF($E195&lt;&gt;"",$E195,$L194*Calculator!$B$5*$F195/Calculator!$B$7))</f>
        <v/>
      </c>
      <c r="I195" s="11" t="str">
        <f aca="false">IF($B195="","",$L194*Calculator!$B$6*$F195/Calculator!$B$7)</f>
        <v/>
      </c>
      <c r="J195" s="11" t="str">
        <f aca="false">IF($B195="","",MAX(0,$H195-$I195))</f>
        <v/>
      </c>
      <c r="K195" s="11" t="str">
        <f aca="false">IF($B195="","",IF($D195&lt;&gt;"",$D195,$G195-$H195))</f>
        <v/>
      </c>
      <c r="L195" s="11" t="str">
        <f aca="false">IF($B195="","",$L194-$K195)</f>
        <v/>
      </c>
      <c r="M195" s="5"/>
    </row>
    <row r="196" customFormat="false" ht="15" hidden="false" customHeight="false" outlineLevel="0" collapsed="false">
      <c r="A196" s="20" t="n">
        <v>190</v>
      </c>
      <c r="B196" s="8"/>
      <c r="C196" s="5"/>
      <c r="D196" s="5"/>
      <c r="E196" s="5"/>
      <c r="F196" s="21" t="str">
        <f aca="false">IF($B196="","",$B196-$B195)</f>
        <v/>
      </c>
      <c r="G196" s="11" t="str">
        <f aca="false">IF($B196="","",IF($C196&lt;&gt;"",$C196,N($D196)+N($E196)))</f>
        <v/>
      </c>
      <c r="H196" s="11" t="str">
        <f aca="false">IF($B196="","",IF($E196&lt;&gt;"",$E196,$L195*Calculator!$B$5*$F196/Calculator!$B$7))</f>
        <v/>
      </c>
      <c r="I196" s="11" t="str">
        <f aca="false">IF($B196="","",$L195*Calculator!$B$6*$F196/Calculator!$B$7)</f>
        <v/>
      </c>
      <c r="J196" s="11" t="str">
        <f aca="false">IF($B196="","",MAX(0,$H196-$I196))</f>
        <v/>
      </c>
      <c r="K196" s="11" t="str">
        <f aca="false">IF($B196="","",IF($D196&lt;&gt;"",$D196,$G196-$H196))</f>
        <v/>
      </c>
      <c r="L196" s="11" t="str">
        <f aca="false">IF($B196="","",$L195-$K196)</f>
        <v/>
      </c>
      <c r="M196" s="5"/>
    </row>
    <row r="197" customFormat="false" ht="15" hidden="false" customHeight="false" outlineLevel="0" collapsed="false">
      <c r="A197" s="20" t="n">
        <v>191</v>
      </c>
      <c r="B197" s="8"/>
      <c r="C197" s="5"/>
      <c r="D197" s="5"/>
      <c r="E197" s="5"/>
      <c r="F197" s="21" t="str">
        <f aca="false">IF($B197="","",$B197-$B196)</f>
        <v/>
      </c>
      <c r="G197" s="11" t="str">
        <f aca="false">IF($B197="","",IF($C197&lt;&gt;"",$C197,N($D197)+N($E197)))</f>
        <v/>
      </c>
      <c r="H197" s="11" t="str">
        <f aca="false">IF($B197="","",IF($E197&lt;&gt;"",$E197,$L196*Calculator!$B$5*$F197/Calculator!$B$7))</f>
        <v/>
      </c>
      <c r="I197" s="11" t="str">
        <f aca="false">IF($B197="","",$L196*Calculator!$B$6*$F197/Calculator!$B$7)</f>
        <v/>
      </c>
      <c r="J197" s="11" t="str">
        <f aca="false">IF($B197="","",MAX(0,$H197-$I197))</f>
        <v/>
      </c>
      <c r="K197" s="11" t="str">
        <f aca="false">IF($B197="","",IF($D197&lt;&gt;"",$D197,$G197-$H197))</f>
        <v/>
      </c>
      <c r="L197" s="11" t="str">
        <f aca="false">IF($B197="","",$L196-$K197)</f>
        <v/>
      </c>
      <c r="M197" s="5"/>
    </row>
    <row r="198" customFormat="false" ht="15" hidden="false" customHeight="false" outlineLevel="0" collapsed="false">
      <c r="A198" s="20" t="n">
        <v>192</v>
      </c>
      <c r="B198" s="8"/>
      <c r="C198" s="5"/>
      <c r="D198" s="5"/>
      <c r="E198" s="5"/>
      <c r="F198" s="21" t="str">
        <f aca="false">IF($B198="","",$B198-$B197)</f>
        <v/>
      </c>
      <c r="G198" s="11" t="str">
        <f aca="false">IF($B198="","",IF($C198&lt;&gt;"",$C198,N($D198)+N($E198)))</f>
        <v/>
      </c>
      <c r="H198" s="11" t="str">
        <f aca="false">IF($B198="","",IF($E198&lt;&gt;"",$E198,$L197*Calculator!$B$5*$F198/Calculator!$B$7))</f>
        <v/>
      </c>
      <c r="I198" s="11" t="str">
        <f aca="false">IF($B198="","",$L197*Calculator!$B$6*$F198/Calculator!$B$7)</f>
        <v/>
      </c>
      <c r="J198" s="11" t="str">
        <f aca="false">IF($B198="","",MAX(0,$H198-$I198))</f>
        <v/>
      </c>
      <c r="K198" s="11" t="str">
        <f aca="false">IF($B198="","",IF($D198&lt;&gt;"",$D198,$G198-$H198))</f>
        <v/>
      </c>
      <c r="L198" s="11" t="str">
        <f aca="false">IF($B198="","",$L197-$K198)</f>
        <v/>
      </c>
      <c r="M198" s="5"/>
    </row>
    <row r="199" customFormat="false" ht="15" hidden="false" customHeight="false" outlineLevel="0" collapsed="false">
      <c r="A199" s="20" t="n">
        <v>193</v>
      </c>
      <c r="B199" s="8"/>
      <c r="C199" s="5"/>
      <c r="D199" s="5"/>
      <c r="E199" s="5"/>
      <c r="F199" s="21" t="str">
        <f aca="false">IF($B199="","",$B199-$B198)</f>
        <v/>
      </c>
      <c r="G199" s="11" t="str">
        <f aca="false">IF($B199="","",IF($C199&lt;&gt;"",$C199,N($D199)+N($E199)))</f>
        <v/>
      </c>
      <c r="H199" s="11" t="str">
        <f aca="false">IF($B199="","",IF($E199&lt;&gt;"",$E199,$L198*Calculator!$B$5*$F199/Calculator!$B$7))</f>
        <v/>
      </c>
      <c r="I199" s="11" t="str">
        <f aca="false">IF($B199="","",$L198*Calculator!$B$6*$F199/Calculator!$B$7)</f>
        <v/>
      </c>
      <c r="J199" s="11" t="str">
        <f aca="false">IF($B199="","",MAX(0,$H199-$I199))</f>
        <v/>
      </c>
      <c r="K199" s="11" t="str">
        <f aca="false">IF($B199="","",IF($D199&lt;&gt;"",$D199,$G199-$H199))</f>
        <v/>
      </c>
      <c r="L199" s="11" t="str">
        <f aca="false">IF($B199="","",$L198-$K199)</f>
        <v/>
      </c>
      <c r="M199" s="5"/>
    </row>
    <row r="200" customFormat="false" ht="15" hidden="false" customHeight="false" outlineLevel="0" collapsed="false">
      <c r="A200" s="20" t="n">
        <v>194</v>
      </c>
      <c r="B200" s="8"/>
      <c r="C200" s="5"/>
      <c r="D200" s="5"/>
      <c r="E200" s="5"/>
      <c r="F200" s="21" t="str">
        <f aca="false">IF($B200="","",$B200-$B199)</f>
        <v/>
      </c>
      <c r="G200" s="11" t="str">
        <f aca="false">IF($B200="","",IF($C200&lt;&gt;"",$C200,N($D200)+N($E200)))</f>
        <v/>
      </c>
      <c r="H200" s="11" t="str">
        <f aca="false">IF($B200="","",IF($E200&lt;&gt;"",$E200,$L199*Calculator!$B$5*$F200/Calculator!$B$7))</f>
        <v/>
      </c>
      <c r="I200" s="11" t="str">
        <f aca="false">IF($B200="","",$L199*Calculator!$B$6*$F200/Calculator!$B$7)</f>
        <v/>
      </c>
      <c r="J200" s="11" t="str">
        <f aca="false">IF($B200="","",MAX(0,$H200-$I200))</f>
        <v/>
      </c>
      <c r="K200" s="11" t="str">
        <f aca="false">IF($B200="","",IF($D200&lt;&gt;"",$D200,$G200-$H200))</f>
        <v/>
      </c>
      <c r="L200" s="11" t="str">
        <f aca="false">IF($B200="","",$L199-$K200)</f>
        <v/>
      </c>
      <c r="M200" s="5"/>
    </row>
    <row r="201" customFormat="false" ht="15" hidden="false" customHeight="false" outlineLevel="0" collapsed="false">
      <c r="A201" s="20" t="n">
        <v>195</v>
      </c>
      <c r="B201" s="8"/>
      <c r="C201" s="5"/>
      <c r="D201" s="5"/>
      <c r="E201" s="5"/>
      <c r="F201" s="21" t="str">
        <f aca="false">IF($B201="","",$B201-$B200)</f>
        <v/>
      </c>
      <c r="G201" s="11" t="str">
        <f aca="false">IF($B201="","",IF($C201&lt;&gt;"",$C201,N($D201)+N($E201)))</f>
        <v/>
      </c>
      <c r="H201" s="11" t="str">
        <f aca="false">IF($B201="","",IF($E201&lt;&gt;"",$E201,$L200*Calculator!$B$5*$F201/Calculator!$B$7))</f>
        <v/>
      </c>
      <c r="I201" s="11" t="str">
        <f aca="false">IF($B201="","",$L200*Calculator!$B$6*$F201/Calculator!$B$7)</f>
        <v/>
      </c>
      <c r="J201" s="11" t="str">
        <f aca="false">IF($B201="","",MAX(0,$H201-$I201))</f>
        <v/>
      </c>
      <c r="K201" s="11" t="str">
        <f aca="false">IF($B201="","",IF($D201&lt;&gt;"",$D201,$G201-$H201))</f>
        <v/>
      </c>
      <c r="L201" s="11" t="str">
        <f aca="false">IF($B201="","",$L200-$K201)</f>
        <v/>
      </c>
      <c r="M201" s="5"/>
    </row>
    <row r="202" customFormat="false" ht="15" hidden="false" customHeight="false" outlineLevel="0" collapsed="false">
      <c r="A202" s="20" t="n">
        <v>196</v>
      </c>
      <c r="B202" s="8"/>
      <c r="C202" s="5"/>
      <c r="D202" s="5"/>
      <c r="E202" s="5"/>
      <c r="F202" s="21" t="str">
        <f aca="false">IF($B202="","",$B202-$B201)</f>
        <v/>
      </c>
      <c r="G202" s="11" t="str">
        <f aca="false">IF($B202="","",IF($C202&lt;&gt;"",$C202,N($D202)+N($E202)))</f>
        <v/>
      </c>
      <c r="H202" s="11" t="str">
        <f aca="false">IF($B202="","",IF($E202&lt;&gt;"",$E202,$L201*Calculator!$B$5*$F202/Calculator!$B$7))</f>
        <v/>
      </c>
      <c r="I202" s="11" t="str">
        <f aca="false">IF($B202="","",$L201*Calculator!$B$6*$F202/Calculator!$B$7)</f>
        <v/>
      </c>
      <c r="J202" s="11" t="str">
        <f aca="false">IF($B202="","",MAX(0,$H202-$I202))</f>
        <v/>
      </c>
      <c r="K202" s="11" t="str">
        <f aca="false">IF($B202="","",IF($D202&lt;&gt;"",$D202,$G202-$H202))</f>
        <v/>
      </c>
      <c r="L202" s="11" t="str">
        <f aca="false">IF($B202="","",$L201-$K202)</f>
        <v/>
      </c>
      <c r="M202" s="5"/>
    </row>
    <row r="203" customFormat="false" ht="15" hidden="false" customHeight="false" outlineLevel="0" collapsed="false">
      <c r="A203" s="20" t="n">
        <v>197</v>
      </c>
      <c r="B203" s="8"/>
      <c r="C203" s="5"/>
      <c r="D203" s="5"/>
      <c r="E203" s="5"/>
      <c r="F203" s="21" t="str">
        <f aca="false">IF($B203="","",$B203-$B202)</f>
        <v/>
      </c>
      <c r="G203" s="11" t="str">
        <f aca="false">IF($B203="","",IF($C203&lt;&gt;"",$C203,N($D203)+N($E203)))</f>
        <v/>
      </c>
      <c r="H203" s="11" t="str">
        <f aca="false">IF($B203="","",IF($E203&lt;&gt;"",$E203,$L202*Calculator!$B$5*$F203/Calculator!$B$7))</f>
        <v/>
      </c>
      <c r="I203" s="11" t="str">
        <f aca="false">IF($B203="","",$L202*Calculator!$B$6*$F203/Calculator!$B$7)</f>
        <v/>
      </c>
      <c r="J203" s="11" t="str">
        <f aca="false">IF($B203="","",MAX(0,$H203-$I203))</f>
        <v/>
      </c>
      <c r="K203" s="11" t="str">
        <f aca="false">IF($B203="","",IF($D203&lt;&gt;"",$D203,$G203-$H203))</f>
        <v/>
      </c>
      <c r="L203" s="11" t="str">
        <f aca="false">IF($B203="","",$L202-$K203)</f>
        <v/>
      </c>
      <c r="M203" s="5"/>
    </row>
    <row r="204" customFormat="false" ht="15" hidden="false" customHeight="false" outlineLevel="0" collapsed="false">
      <c r="A204" s="20" t="n">
        <v>198</v>
      </c>
      <c r="B204" s="8"/>
      <c r="C204" s="5"/>
      <c r="D204" s="5"/>
      <c r="E204" s="5"/>
      <c r="F204" s="21" t="str">
        <f aca="false">IF($B204="","",$B204-$B203)</f>
        <v/>
      </c>
      <c r="G204" s="11" t="str">
        <f aca="false">IF($B204="","",IF($C204&lt;&gt;"",$C204,N($D204)+N($E204)))</f>
        <v/>
      </c>
      <c r="H204" s="11" t="str">
        <f aca="false">IF($B204="","",IF($E204&lt;&gt;"",$E204,$L203*Calculator!$B$5*$F204/Calculator!$B$7))</f>
        <v/>
      </c>
      <c r="I204" s="11" t="str">
        <f aca="false">IF($B204="","",$L203*Calculator!$B$6*$F204/Calculator!$B$7)</f>
        <v/>
      </c>
      <c r="J204" s="11" t="str">
        <f aca="false">IF($B204="","",MAX(0,$H204-$I204))</f>
        <v/>
      </c>
      <c r="K204" s="11" t="str">
        <f aca="false">IF($B204="","",IF($D204&lt;&gt;"",$D204,$G204-$H204))</f>
        <v/>
      </c>
      <c r="L204" s="11" t="str">
        <f aca="false">IF($B204="","",$L203-$K204)</f>
        <v/>
      </c>
      <c r="M204" s="5"/>
    </row>
    <row r="205" customFormat="false" ht="15" hidden="false" customHeight="false" outlineLevel="0" collapsed="false">
      <c r="A205" s="20" t="n">
        <v>199</v>
      </c>
      <c r="B205" s="8"/>
      <c r="C205" s="5"/>
      <c r="D205" s="5"/>
      <c r="E205" s="5"/>
      <c r="F205" s="21" t="str">
        <f aca="false">IF($B205="","",$B205-$B204)</f>
        <v/>
      </c>
      <c r="G205" s="11" t="str">
        <f aca="false">IF($B205="","",IF($C205&lt;&gt;"",$C205,N($D205)+N($E205)))</f>
        <v/>
      </c>
      <c r="H205" s="11" t="str">
        <f aca="false">IF($B205="","",IF($E205&lt;&gt;"",$E205,$L204*Calculator!$B$5*$F205/Calculator!$B$7))</f>
        <v/>
      </c>
      <c r="I205" s="11" t="str">
        <f aca="false">IF($B205="","",$L204*Calculator!$B$6*$F205/Calculator!$B$7)</f>
        <v/>
      </c>
      <c r="J205" s="11" t="str">
        <f aca="false">IF($B205="","",MAX(0,$H205-$I205))</f>
        <v/>
      </c>
      <c r="K205" s="11" t="str">
        <f aca="false">IF($B205="","",IF($D205&lt;&gt;"",$D205,$G205-$H205))</f>
        <v/>
      </c>
      <c r="L205" s="11" t="str">
        <f aca="false">IF($B205="","",$L204-$K205)</f>
        <v/>
      </c>
      <c r="M205" s="5"/>
    </row>
    <row r="206" customFormat="false" ht="15" hidden="false" customHeight="false" outlineLevel="0" collapsed="false">
      <c r="A206" s="20" t="n">
        <v>200</v>
      </c>
      <c r="B206" s="8"/>
      <c r="C206" s="5"/>
      <c r="D206" s="5"/>
      <c r="E206" s="5"/>
      <c r="F206" s="21" t="str">
        <f aca="false">IF($B206="","",$B206-$B205)</f>
        <v/>
      </c>
      <c r="G206" s="11" t="str">
        <f aca="false">IF($B206="","",IF($C206&lt;&gt;"",$C206,N($D206)+N($E206)))</f>
        <v/>
      </c>
      <c r="H206" s="11" t="str">
        <f aca="false">IF($B206="","",IF($E206&lt;&gt;"",$E206,$L205*Calculator!$B$5*$F206/Calculator!$B$7))</f>
        <v/>
      </c>
      <c r="I206" s="11" t="str">
        <f aca="false">IF($B206="","",$L205*Calculator!$B$6*$F206/Calculator!$B$7)</f>
        <v/>
      </c>
      <c r="J206" s="11" t="str">
        <f aca="false">IF($B206="","",MAX(0,$H206-$I206))</f>
        <v/>
      </c>
      <c r="K206" s="11" t="str">
        <f aca="false">IF($B206="","",IF($D206&lt;&gt;"",$D206,$G206-$H206))</f>
        <v/>
      </c>
      <c r="L206" s="11" t="str">
        <f aca="false">IF($B206="","",$L205-$K206)</f>
        <v/>
      </c>
      <c r="M206" s="5"/>
    </row>
    <row r="207" customFormat="false" ht="15" hidden="false" customHeight="false" outlineLevel="0" collapsed="false">
      <c r="A207" s="20" t="n">
        <v>201</v>
      </c>
      <c r="B207" s="8"/>
      <c r="C207" s="5"/>
      <c r="D207" s="5"/>
      <c r="E207" s="5"/>
      <c r="F207" s="21" t="str">
        <f aca="false">IF($B207="","",$B207-$B206)</f>
        <v/>
      </c>
      <c r="G207" s="11" t="str">
        <f aca="false">IF($B207="","",IF($C207&lt;&gt;"",$C207,N($D207)+N($E207)))</f>
        <v/>
      </c>
      <c r="H207" s="11" t="str">
        <f aca="false">IF($B207="","",IF($E207&lt;&gt;"",$E207,$L206*Calculator!$B$5*$F207/Calculator!$B$7))</f>
        <v/>
      </c>
      <c r="I207" s="11" t="str">
        <f aca="false">IF($B207="","",$L206*Calculator!$B$6*$F207/Calculator!$B$7)</f>
        <v/>
      </c>
      <c r="J207" s="11" t="str">
        <f aca="false">IF($B207="","",MAX(0,$H207-$I207))</f>
        <v/>
      </c>
      <c r="K207" s="11" t="str">
        <f aca="false">IF($B207="","",IF($D207&lt;&gt;"",$D207,$G207-$H207))</f>
        <v/>
      </c>
      <c r="L207" s="11" t="str">
        <f aca="false">IF($B207="","",$L206-$K207)</f>
        <v/>
      </c>
      <c r="M207" s="5"/>
    </row>
    <row r="208" customFormat="false" ht="15" hidden="false" customHeight="false" outlineLevel="0" collapsed="false">
      <c r="A208" s="20" t="n">
        <v>202</v>
      </c>
      <c r="B208" s="8"/>
      <c r="C208" s="5"/>
      <c r="D208" s="5"/>
      <c r="E208" s="5"/>
      <c r="F208" s="21" t="str">
        <f aca="false">IF($B208="","",$B208-$B207)</f>
        <v/>
      </c>
      <c r="G208" s="11" t="str">
        <f aca="false">IF($B208="","",IF($C208&lt;&gt;"",$C208,N($D208)+N($E208)))</f>
        <v/>
      </c>
      <c r="H208" s="11" t="str">
        <f aca="false">IF($B208="","",IF($E208&lt;&gt;"",$E208,$L207*Calculator!$B$5*$F208/Calculator!$B$7))</f>
        <v/>
      </c>
      <c r="I208" s="11" t="str">
        <f aca="false">IF($B208="","",$L207*Calculator!$B$6*$F208/Calculator!$B$7)</f>
        <v/>
      </c>
      <c r="J208" s="11" t="str">
        <f aca="false">IF($B208="","",MAX(0,$H208-$I208))</f>
        <v/>
      </c>
      <c r="K208" s="11" t="str">
        <f aca="false">IF($B208="","",IF($D208&lt;&gt;"",$D208,$G208-$H208))</f>
        <v/>
      </c>
      <c r="L208" s="11" t="str">
        <f aca="false">IF($B208="","",$L207-$K208)</f>
        <v/>
      </c>
      <c r="M208" s="5"/>
    </row>
    <row r="209" customFormat="false" ht="15" hidden="false" customHeight="false" outlineLevel="0" collapsed="false">
      <c r="A209" s="20" t="n">
        <v>203</v>
      </c>
      <c r="B209" s="8"/>
      <c r="C209" s="5"/>
      <c r="D209" s="5"/>
      <c r="E209" s="5"/>
      <c r="F209" s="21" t="str">
        <f aca="false">IF($B209="","",$B209-$B208)</f>
        <v/>
      </c>
      <c r="G209" s="11" t="str">
        <f aca="false">IF($B209="","",IF($C209&lt;&gt;"",$C209,N($D209)+N($E209)))</f>
        <v/>
      </c>
      <c r="H209" s="11" t="str">
        <f aca="false">IF($B209="","",IF($E209&lt;&gt;"",$E209,$L208*Calculator!$B$5*$F209/Calculator!$B$7))</f>
        <v/>
      </c>
      <c r="I209" s="11" t="str">
        <f aca="false">IF($B209="","",$L208*Calculator!$B$6*$F209/Calculator!$B$7)</f>
        <v/>
      </c>
      <c r="J209" s="11" t="str">
        <f aca="false">IF($B209="","",MAX(0,$H209-$I209))</f>
        <v/>
      </c>
      <c r="K209" s="11" t="str">
        <f aca="false">IF($B209="","",IF($D209&lt;&gt;"",$D209,$G209-$H209))</f>
        <v/>
      </c>
      <c r="L209" s="11" t="str">
        <f aca="false">IF($B209="","",$L208-$K209)</f>
        <v/>
      </c>
      <c r="M209" s="5"/>
    </row>
    <row r="210" customFormat="false" ht="15" hidden="false" customHeight="false" outlineLevel="0" collapsed="false">
      <c r="A210" s="20" t="n">
        <v>204</v>
      </c>
      <c r="B210" s="8"/>
      <c r="C210" s="5"/>
      <c r="D210" s="5"/>
      <c r="E210" s="5"/>
      <c r="F210" s="21" t="str">
        <f aca="false">IF($B210="","",$B210-$B209)</f>
        <v/>
      </c>
      <c r="G210" s="11" t="str">
        <f aca="false">IF($B210="","",IF($C210&lt;&gt;"",$C210,N($D210)+N($E210)))</f>
        <v/>
      </c>
      <c r="H210" s="11" t="str">
        <f aca="false">IF($B210="","",IF($E210&lt;&gt;"",$E210,$L209*Calculator!$B$5*$F210/Calculator!$B$7))</f>
        <v/>
      </c>
      <c r="I210" s="11" t="str">
        <f aca="false">IF($B210="","",$L209*Calculator!$B$6*$F210/Calculator!$B$7)</f>
        <v/>
      </c>
      <c r="J210" s="11" t="str">
        <f aca="false">IF($B210="","",MAX(0,$H210-$I210))</f>
        <v/>
      </c>
      <c r="K210" s="11" t="str">
        <f aca="false">IF($B210="","",IF($D210&lt;&gt;"",$D210,$G210-$H210))</f>
        <v/>
      </c>
      <c r="L210" s="11" t="str">
        <f aca="false">IF($B210="","",$L209-$K210)</f>
        <v/>
      </c>
      <c r="M210" s="5"/>
    </row>
    <row r="211" customFormat="false" ht="15" hidden="false" customHeight="false" outlineLevel="0" collapsed="false">
      <c r="A211" s="20" t="n">
        <v>205</v>
      </c>
      <c r="B211" s="8"/>
      <c r="C211" s="5"/>
      <c r="D211" s="5"/>
      <c r="E211" s="5"/>
      <c r="F211" s="21" t="str">
        <f aca="false">IF($B211="","",$B211-$B210)</f>
        <v/>
      </c>
      <c r="G211" s="11" t="str">
        <f aca="false">IF($B211="","",IF($C211&lt;&gt;"",$C211,N($D211)+N($E211)))</f>
        <v/>
      </c>
      <c r="H211" s="11" t="str">
        <f aca="false">IF($B211="","",IF($E211&lt;&gt;"",$E211,$L210*Calculator!$B$5*$F211/Calculator!$B$7))</f>
        <v/>
      </c>
      <c r="I211" s="11" t="str">
        <f aca="false">IF($B211="","",$L210*Calculator!$B$6*$F211/Calculator!$B$7)</f>
        <v/>
      </c>
      <c r="J211" s="11" t="str">
        <f aca="false">IF($B211="","",MAX(0,$H211-$I211))</f>
        <v/>
      </c>
      <c r="K211" s="11" t="str">
        <f aca="false">IF($B211="","",IF($D211&lt;&gt;"",$D211,$G211-$H211))</f>
        <v/>
      </c>
      <c r="L211" s="11" t="str">
        <f aca="false">IF($B211="","",$L210-$K211)</f>
        <v/>
      </c>
      <c r="M211" s="5"/>
    </row>
    <row r="212" customFormat="false" ht="15" hidden="false" customHeight="false" outlineLevel="0" collapsed="false">
      <c r="A212" s="20" t="n">
        <v>206</v>
      </c>
      <c r="B212" s="8"/>
      <c r="C212" s="5"/>
      <c r="D212" s="5"/>
      <c r="E212" s="5"/>
      <c r="F212" s="21" t="str">
        <f aca="false">IF($B212="","",$B212-$B211)</f>
        <v/>
      </c>
      <c r="G212" s="11" t="str">
        <f aca="false">IF($B212="","",IF($C212&lt;&gt;"",$C212,N($D212)+N($E212)))</f>
        <v/>
      </c>
      <c r="H212" s="11" t="str">
        <f aca="false">IF($B212="","",IF($E212&lt;&gt;"",$E212,$L211*Calculator!$B$5*$F212/Calculator!$B$7))</f>
        <v/>
      </c>
      <c r="I212" s="11" t="str">
        <f aca="false">IF($B212="","",$L211*Calculator!$B$6*$F212/Calculator!$B$7)</f>
        <v/>
      </c>
      <c r="J212" s="11" t="str">
        <f aca="false">IF($B212="","",MAX(0,$H212-$I212))</f>
        <v/>
      </c>
      <c r="K212" s="11" t="str">
        <f aca="false">IF($B212="","",IF($D212&lt;&gt;"",$D212,$G212-$H212))</f>
        <v/>
      </c>
      <c r="L212" s="11" t="str">
        <f aca="false">IF($B212="","",$L211-$K212)</f>
        <v/>
      </c>
      <c r="M212" s="5"/>
    </row>
    <row r="213" customFormat="false" ht="15" hidden="false" customHeight="false" outlineLevel="0" collapsed="false">
      <c r="A213" s="20" t="n">
        <v>207</v>
      </c>
      <c r="B213" s="8"/>
      <c r="C213" s="5"/>
      <c r="D213" s="5"/>
      <c r="E213" s="5"/>
      <c r="F213" s="21" t="str">
        <f aca="false">IF($B213="","",$B213-$B212)</f>
        <v/>
      </c>
      <c r="G213" s="11" t="str">
        <f aca="false">IF($B213="","",IF($C213&lt;&gt;"",$C213,N($D213)+N($E213)))</f>
        <v/>
      </c>
      <c r="H213" s="11" t="str">
        <f aca="false">IF($B213="","",IF($E213&lt;&gt;"",$E213,$L212*Calculator!$B$5*$F213/Calculator!$B$7))</f>
        <v/>
      </c>
      <c r="I213" s="11" t="str">
        <f aca="false">IF($B213="","",$L212*Calculator!$B$6*$F213/Calculator!$B$7)</f>
        <v/>
      </c>
      <c r="J213" s="11" t="str">
        <f aca="false">IF($B213="","",MAX(0,$H213-$I213))</f>
        <v/>
      </c>
      <c r="K213" s="11" t="str">
        <f aca="false">IF($B213="","",IF($D213&lt;&gt;"",$D213,$G213-$H213))</f>
        <v/>
      </c>
      <c r="L213" s="11" t="str">
        <f aca="false">IF($B213="","",$L212-$K213)</f>
        <v/>
      </c>
      <c r="M213" s="5"/>
    </row>
    <row r="214" customFormat="false" ht="15" hidden="false" customHeight="false" outlineLevel="0" collapsed="false">
      <c r="A214" s="20" t="n">
        <v>208</v>
      </c>
      <c r="B214" s="8"/>
      <c r="C214" s="5"/>
      <c r="D214" s="5"/>
      <c r="E214" s="5"/>
      <c r="F214" s="21" t="str">
        <f aca="false">IF($B214="","",$B214-$B213)</f>
        <v/>
      </c>
      <c r="G214" s="11" t="str">
        <f aca="false">IF($B214="","",IF($C214&lt;&gt;"",$C214,N($D214)+N($E214)))</f>
        <v/>
      </c>
      <c r="H214" s="11" t="str">
        <f aca="false">IF($B214="","",IF($E214&lt;&gt;"",$E214,$L213*Calculator!$B$5*$F214/Calculator!$B$7))</f>
        <v/>
      </c>
      <c r="I214" s="11" t="str">
        <f aca="false">IF($B214="","",$L213*Calculator!$B$6*$F214/Calculator!$B$7)</f>
        <v/>
      </c>
      <c r="J214" s="11" t="str">
        <f aca="false">IF($B214="","",MAX(0,$H214-$I214))</f>
        <v/>
      </c>
      <c r="K214" s="11" t="str">
        <f aca="false">IF($B214="","",IF($D214&lt;&gt;"",$D214,$G214-$H214))</f>
        <v/>
      </c>
      <c r="L214" s="11" t="str">
        <f aca="false">IF($B214="","",$L213-$K214)</f>
        <v/>
      </c>
      <c r="M214" s="5"/>
    </row>
    <row r="215" customFormat="false" ht="15" hidden="false" customHeight="false" outlineLevel="0" collapsed="false">
      <c r="A215" s="20" t="n">
        <v>209</v>
      </c>
      <c r="B215" s="8"/>
      <c r="C215" s="5"/>
      <c r="D215" s="5"/>
      <c r="E215" s="5"/>
      <c r="F215" s="21" t="str">
        <f aca="false">IF($B215="","",$B215-$B214)</f>
        <v/>
      </c>
      <c r="G215" s="11" t="str">
        <f aca="false">IF($B215="","",IF($C215&lt;&gt;"",$C215,N($D215)+N($E215)))</f>
        <v/>
      </c>
      <c r="H215" s="11" t="str">
        <f aca="false">IF($B215="","",IF($E215&lt;&gt;"",$E215,$L214*Calculator!$B$5*$F215/Calculator!$B$7))</f>
        <v/>
      </c>
      <c r="I215" s="11" t="str">
        <f aca="false">IF($B215="","",$L214*Calculator!$B$6*$F215/Calculator!$B$7)</f>
        <v/>
      </c>
      <c r="J215" s="11" t="str">
        <f aca="false">IF($B215="","",MAX(0,$H215-$I215))</f>
        <v/>
      </c>
      <c r="K215" s="11" t="str">
        <f aca="false">IF($B215="","",IF($D215&lt;&gt;"",$D215,$G215-$H215))</f>
        <v/>
      </c>
      <c r="L215" s="11" t="str">
        <f aca="false">IF($B215="","",$L214-$K215)</f>
        <v/>
      </c>
      <c r="M215" s="5"/>
    </row>
    <row r="216" customFormat="false" ht="15" hidden="false" customHeight="false" outlineLevel="0" collapsed="false">
      <c r="A216" s="20" t="n">
        <v>210</v>
      </c>
      <c r="B216" s="8"/>
      <c r="C216" s="5"/>
      <c r="D216" s="5"/>
      <c r="E216" s="5"/>
      <c r="F216" s="21" t="str">
        <f aca="false">IF($B216="","",$B216-$B215)</f>
        <v/>
      </c>
      <c r="G216" s="11" t="str">
        <f aca="false">IF($B216="","",IF($C216&lt;&gt;"",$C216,N($D216)+N($E216)))</f>
        <v/>
      </c>
      <c r="H216" s="11" t="str">
        <f aca="false">IF($B216="","",IF($E216&lt;&gt;"",$E216,$L215*Calculator!$B$5*$F216/Calculator!$B$7))</f>
        <v/>
      </c>
      <c r="I216" s="11" t="str">
        <f aca="false">IF($B216="","",$L215*Calculator!$B$6*$F216/Calculator!$B$7)</f>
        <v/>
      </c>
      <c r="J216" s="11" t="str">
        <f aca="false">IF($B216="","",MAX(0,$H216-$I216))</f>
        <v/>
      </c>
      <c r="K216" s="11" t="str">
        <f aca="false">IF($B216="","",IF($D216&lt;&gt;"",$D216,$G216-$H216))</f>
        <v/>
      </c>
      <c r="L216" s="11" t="str">
        <f aca="false">IF($B216="","",$L215-$K216)</f>
        <v/>
      </c>
      <c r="M216" s="5"/>
    </row>
    <row r="217" customFormat="false" ht="15" hidden="false" customHeight="false" outlineLevel="0" collapsed="false">
      <c r="A217" s="20" t="n">
        <v>211</v>
      </c>
      <c r="B217" s="8"/>
      <c r="C217" s="5"/>
      <c r="D217" s="5"/>
      <c r="E217" s="5"/>
      <c r="F217" s="21" t="str">
        <f aca="false">IF($B217="","",$B217-$B216)</f>
        <v/>
      </c>
      <c r="G217" s="11" t="str">
        <f aca="false">IF($B217="","",IF($C217&lt;&gt;"",$C217,N($D217)+N($E217)))</f>
        <v/>
      </c>
      <c r="H217" s="11" t="str">
        <f aca="false">IF($B217="","",IF($E217&lt;&gt;"",$E217,$L216*Calculator!$B$5*$F217/Calculator!$B$7))</f>
        <v/>
      </c>
      <c r="I217" s="11" t="str">
        <f aca="false">IF($B217="","",$L216*Calculator!$B$6*$F217/Calculator!$B$7)</f>
        <v/>
      </c>
      <c r="J217" s="11" t="str">
        <f aca="false">IF($B217="","",MAX(0,$H217-$I217))</f>
        <v/>
      </c>
      <c r="K217" s="11" t="str">
        <f aca="false">IF($B217="","",IF($D217&lt;&gt;"",$D217,$G217-$H217))</f>
        <v/>
      </c>
      <c r="L217" s="11" t="str">
        <f aca="false">IF($B217="","",$L216-$K217)</f>
        <v/>
      </c>
      <c r="M217" s="5"/>
    </row>
    <row r="218" customFormat="false" ht="15" hidden="false" customHeight="false" outlineLevel="0" collapsed="false">
      <c r="A218" s="20" t="n">
        <v>212</v>
      </c>
      <c r="B218" s="8"/>
      <c r="C218" s="5"/>
      <c r="D218" s="5"/>
      <c r="E218" s="5"/>
      <c r="F218" s="21" t="str">
        <f aca="false">IF($B218="","",$B218-$B217)</f>
        <v/>
      </c>
      <c r="G218" s="11" t="str">
        <f aca="false">IF($B218="","",IF($C218&lt;&gt;"",$C218,N($D218)+N($E218)))</f>
        <v/>
      </c>
      <c r="H218" s="11" t="str">
        <f aca="false">IF($B218="","",IF($E218&lt;&gt;"",$E218,$L217*Calculator!$B$5*$F218/Calculator!$B$7))</f>
        <v/>
      </c>
      <c r="I218" s="11" t="str">
        <f aca="false">IF($B218="","",$L217*Calculator!$B$6*$F218/Calculator!$B$7)</f>
        <v/>
      </c>
      <c r="J218" s="11" t="str">
        <f aca="false">IF($B218="","",MAX(0,$H218-$I218))</f>
        <v/>
      </c>
      <c r="K218" s="11" t="str">
        <f aca="false">IF($B218="","",IF($D218&lt;&gt;"",$D218,$G218-$H218))</f>
        <v/>
      </c>
      <c r="L218" s="11" t="str">
        <f aca="false">IF($B218="","",$L217-$K218)</f>
        <v/>
      </c>
      <c r="M218" s="5"/>
    </row>
    <row r="219" customFormat="false" ht="15" hidden="false" customHeight="false" outlineLevel="0" collapsed="false">
      <c r="A219" s="20" t="n">
        <v>213</v>
      </c>
      <c r="B219" s="8"/>
      <c r="C219" s="5"/>
      <c r="D219" s="5"/>
      <c r="E219" s="5"/>
      <c r="F219" s="21" t="str">
        <f aca="false">IF($B219="","",$B219-$B218)</f>
        <v/>
      </c>
      <c r="G219" s="11" t="str">
        <f aca="false">IF($B219="","",IF($C219&lt;&gt;"",$C219,N($D219)+N($E219)))</f>
        <v/>
      </c>
      <c r="H219" s="11" t="str">
        <f aca="false">IF($B219="","",IF($E219&lt;&gt;"",$E219,$L218*Calculator!$B$5*$F219/Calculator!$B$7))</f>
        <v/>
      </c>
      <c r="I219" s="11" t="str">
        <f aca="false">IF($B219="","",$L218*Calculator!$B$6*$F219/Calculator!$B$7)</f>
        <v/>
      </c>
      <c r="J219" s="11" t="str">
        <f aca="false">IF($B219="","",MAX(0,$H219-$I219))</f>
        <v/>
      </c>
      <c r="K219" s="11" t="str">
        <f aca="false">IF($B219="","",IF($D219&lt;&gt;"",$D219,$G219-$H219))</f>
        <v/>
      </c>
      <c r="L219" s="11" t="str">
        <f aca="false">IF($B219="","",$L218-$K219)</f>
        <v/>
      </c>
      <c r="M219" s="5"/>
    </row>
    <row r="220" customFormat="false" ht="15" hidden="false" customHeight="false" outlineLevel="0" collapsed="false">
      <c r="A220" s="20" t="n">
        <v>214</v>
      </c>
      <c r="B220" s="8"/>
      <c r="C220" s="5"/>
      <c r="D220" s="5"/>
      <c r="E220" s="5"/>
      <c r="F220" s="21" t="str">
        <f aca="false">IF($B220="","",$B220-$B219)</f>
        <v/>
      </c>
      <c r="G220" s="11" t="str">
        <f aca="false">IF($B220="","",IF($C220&lt;&gt;"",$C220,N($D220)+N($E220)))</f>
        <v/>
      </c>
      <c r="H220" s="11" t="str">
        <f aca="false">IF($B220="","",IF($E220&lt;&gt;"",$E220,$L219*Calculator!$B$5*$F220/Calculator!$B$7))</f>
        <v/>
      </c>
      <c r="I220" s="11" t="str">
        <f aca="false">IF($B220="","",$L219*Calculator!$B$6*$F220/Calculator!$B$7)</f>
        <v/>
      </c>
      <c r="J220" s="11" t="str">
        <f aca="false">IF($B220="","",MAX(0,$H220-$I220))</f>
        <v/>
      </c>
      <c r="K220" s="11" t="str">
        <f aca="false">IF($B220="","",IF($D220&lt;&gt;"",$D220,$G220-$H220))</f>
        <v/>
      </c>
      <c r="L220" s="11" t="str">
        <f aca="false">IF($B220="","",$L219-$K220)</f>
        <v/>
      </c>
      <c r="M220" s="5"/>
    </row>
    <row r="221" customFormat="false" ht="15" hidden="false" customHeight="false" outlineLevel="0" collapsed="false">
      <c r="A221" s="20" t="n">
        <v>215</v>
      </c>
      <c r="B221" s="8"/>
      <c r="C221" s="5"/>
      <c r="D221" s="5"/>
      <c r="E221" s="5"/>
      <c r="F221" s="21" t="str">
        <f aca="false">IF($B221="","",$B221-$B220)</f>
        <v/>
      </c>
      <c r="G221" s="11" t="str">
        <f aca="false">IF($B221="","",IF($C221&lt;&gt;"",$C221,N($D221)+N($E221)))</f>
        <v/>
      </c>
      <c r="H221" s="11" t="str">
        <f aca="false">IF($B221="","",IF($E221&lt;&gt;"",$E221,$L220*Calculator!$B$5*$F221/Calculator!$B$7))</f>
        <v/>
      </c>
      <c r="I221" s="11" t="str">
        <f aca="false">IF($B221="","",$L220*Calculator!$B$6*$F221/Calculator!$B$7)</f>
        <v/>
      </c>
      <c r="J221" s="11" t="str">
        <f aca="false">IF($B221="","",MAX(0,$H221-$I221))</f>
        <v/>
      </c>
      <c r="K221" s="11" t="str">
        <f aca="false">IF($B221="","",IF($D221&lt;&gt;"",$D221,$G221-$H221))</f>
        <v/>
      </c>
      <c r="L221" s="11" t="str">
        <f aca="false">IF($B221="","",$L220-$K221)</f>
        <v/>
      </c>
      <c r="M221" s="5"/>
    </row>
    <row r="222" customFormat="false" ht="15" hidden="false" customHeight="false" outlineLevel="0" collapsed="false">
      <c r="A222" s="20" t="n">
        <v>216</v>
      </c>
      <c r="B222" s="8"/>
      <c r="C222" s="5"/>
      <c r="D222" s="5"/>
      <c r="E222" s="5"/>
      <c r="F222" s="21" t="str">
        <f aca="false">IF($B222="","",$B222-$B221)</f>
        <v/>
      </c>
      <c r="G222" s="11" t="str">
        <f aca="false">IF($B222="","",IF($C222&lt;&gt;"",$C222,N($D222)+N($E222)))</f>
        <v/>
      </c>
      <c r="H222" s="11" t="str">
        <f aca="false">IF($B222="","",IF($E222&lt;&gt;"",$E222,$L221*Calculator!$B$5*$F222/Calculator!$B$7))</f>
        <v/>
      </c>
      <c r="I222" s="11" t="str">
        <f aca="false">IF($B222="","",$L221*Calculator!$B$6*$F222/Calculator!$B$7)</f>
        <v/>
      </c>
      <c r="J222" s="11" t="str">
        <f aca="false">IF($B222="","",MAX(0,$H222-$I222))</f>
        <v/>
      </c>
      <c r="K222" s="11" t="str">
        <f aca="false">IF($B222="","",IF($D222&lt;&gt;"",$D222,$G222-$H222))</f>
        <v/>
      </c>
      <c r="L222" s="11" t="str">
        <f aca="false">IF($B222="","",$L221-$K222)</f>
        <v/>
      </c>
      <c r="M222" s="5"/>
    </row>
    <row r="223" customFormat="false" ht="15" hidden="false" customHeight="false" outlineLevel="0" collapsed="false">
      <c r="A223" s="20" t="n">
        <v>217</v>
      </c>
      <c r="B223" s="8"/>
      <c r="C223" s="5"/>
      <c r="D223" s="5"/>
      <c r="E223" s="5"/>
      <c r="F223" s="21" t="str">
        <f aca="false">IF($B223="","",$B223-$B222)</f>
        <v/>
      </c>
      <c r="G223" s="11" t="str">
        <f aca="false">IF($B223="","",IF($C223&lt;&gt;"",$C223,N($D223)+N($E223)))</f>
        <v/>
      </c>
      <c r="H223" s="11" t="str">
        <f aca="false">IF($B223="","",IF($E223&lt;&gt;"",$E223,$L222*Calculator!$B$5*$F223/Calculator!$B$7))</f>
        <v/>
      </c>
      <c r="I223" s="11" t="str">
        <f aca="false">IF($B223="","",$L222*Calculator!$B$6*$F223/Calculator!$B$7)</f>
        <v/>
      </c>
      <c r="J223" s="11" t="str">
        <f aca="false">IF($B223="","",MAX(0,$H223-$I223))</f>
        <v/>
      </c>
      <c r="K223" s="11" t="str">
        <f aca="false">IF($B223="","",IF($D223&lt;&gt;"",$D223,$G223-$H223))</f>
        <v/>
      </c>
      <c r="L223" s="11" t="str">
        <f aca="false">IF($B223="","",$L222-$K223)</f>
        <v/>
      </c>
      <c r="M223" s="5"/>
    </row>
    <row r="224" customFormat="false" ht="15" hidden="false" customHeight="false" outlineLevel="0" collapsed="false">
      <c r="A224" s="20" t="n">
        <v>218</v>
      </c>
      <c r="B224" s="8"/>
      <c r="C224" s="5"/>
      <c r="D224" s="5"/>
      <c r="E224" s="5"/>
      <c r="F224" s="21" t="str">
        <f aca="false">IF($B224="","",$B224-$B223)</f>
        <v/>
      </c>
      <c r="G224" s="11" t="str">
        <f aca="false">IF($B224="","",IF($C224&lt;&gt;"",$C224,N($D224)+N($E224)))</f>
        <v/>
      </c>
      <c r="H224" s="11" t="str">
        <f aca="false">IF($B224="","",IF($E224&lt;&gt;"",$E224,$L223*Calculator!$B$5*$F224/Calculator!$B$7))</f>
        <v/>
      </c>
      <c r="I224" s="11" t="str">
        <f aca="false">IF($B224="","",$L223*Calculator!$B$6*$F224/Calculator!$B$7)</f>
        <v/>
      </c>
      <c r="J224" s="11" t="str">
        <f aca="false">IF($B224="","",MAX(0,$H224-$I224))</f>
        <v/>
      </c>
      <c r="K224" s="11" t="str">
        <f aca="false">IF($B224="","",IF($D224&lt;&gt;"",$D224,$G224-$H224))</f>
        <v/>
      </c>
      <c r="L224" s="11" t="str">
        <f aca="false">IF($B224="","",$L223-$K224)</f>
        <v/>
      </c>
      <c r="M224" s="5"/>
    </row>
    <row r="225" customFormat="false" ht="15" hidden="false" customHeight="false" outlineLevel="0" collapsed="false">
      <c r="A225" s="20" t="n">
        <v>219</v>
      </c>
      <c r="B225" s="8"/>
      <c r="C225" s="5"/>
      <c r="D225" s="5"/>
      <c r="E225" s="5"/>
      <c r="F225" s="21" t="str">
        <f aca="false">IF($B225="","",$B225-$B224)</f>
        <v/>
      </c>
      <c r="G225" s="11" t="str">
        <f aca="false">IF($B225="","",IF($C225&lt;&gt;"",$C225,N($D225)+N($E225)))</f>
        <v/>
      </c>
      <c r="H225" s="11" t="str">
        <f aca="false">IF($B225="","",IF($E225&lt;&gt;"",$E225,$L224*Calculator!$B$5*$F225/Calculator!$B$7))</f>
        <v/>
      </c>
      <c r="I225" s="11" t="str">
        <f aca="false">IF($B225="","",$L224*Calculator!$B$6*$F225/Calculator!$B$7)</f>
        <v/>
      </c>
      <c r="J225" s="11" t="str">
        <f aca="false">IF($B225="","",MAX(0,$H225-$I225))</f>
        <v/>
      </c>
      <c r="K225" s="11" t="str">
        <f aca="false">IF($B225="","",IF($D225&lt;&gt;"",$D225,$G225-$H225))</f>
        <v/>
      </c>
      <c r="L225" s="11" t="str">
        <f aca="false">IF($B225="","",$L224-$K225)</f>
        <v/>
      </c>
      <c r="M225" s="5"/>
    </row>
    <row r="226" customFormat="false" ht="15" hidden="false" customHeight="false" outlineLevel="0" collapsed="false">
      <c r="A226" s="20" t="n">
        <v>220</v>
      </c>
      <c r="B226" s="8"/>
      <c r="C226" s="5"/>
      <c r="D226" s="5"/>
      <c r="E226" s="5"/>
      <c r="F226" s="21" t="str">
        <f aca="false">IF($B226="","",$B226-$B225)</f>
        <v/>
      </c>
      <c r="G226" s="11" t="str">
        <f aca="false">IF($B226="","",IF($C226&lt;&gt;"",$C226,N($D226)+N($E226)))</f>
        <v/>
      </c>
      <c r="H226" s="11" t="str">
        <f aca="false">IF($B226="","",IF($E226&lt;&gt;"",$E226,$L225*Calculator!$B$5*$F226/Calculator!$B$7))</f>
        <v/>
      </c>
      <c r="I226" s="11" t="str">
        <f aca="false">IF($B226="","",$L225*Calculator!$B$6*$F226/Calculator!$B$7)</f>
        <v/>
      </c>
      <c r="J226" s="11" t="str">
        <f aca="false">IF($B226="","",MAX(0,$H226-$I226))</f>
        <v/>
      </c>
      <c r="K226" s="11" t="str">
        <f aca="false">IF($B226="","",IF($D226&lt;&gt;"",$D226,$G226-$H226))</f>
        <v/>
      </c>
      <c r="L226" s="11" t="str">
        <f aca="false">IF($B226="","",$L225-$K226)</f>
        <v/>
      </c>
      <c r="M226" s="5"/>
    </row>
    <row r="227" customFormat="false" ht="15" hidden="false" customHeight="false" outlineLevel="0" collapsed="false">
      <c r="A227" s="20" t="n">
        <v>221</v>
      </c>
      <c r="B227" s="8"/>
      <c r="C227" s="5"/>
      <c r="D227" s="5"/>
      <c r="E227" s="5"/>
      <c r="F227" s="21" t="str">
        <f aca="false">IF($B227="","",$B227-$B226)</f>
        <v/>
      </c>
      <c r="G227" s="11" t="str">
        <f aca="false">IF($B227="","",IF($C227&lt;&gt;"",$C227,N($D227)+N($E227)))</f>
        <v/>
      </c>
      <c r="H227" s="11" t="str">
        <f aca="false">IF($B227="","",IF($E227&lt;&gt;"",$E227,$L226*Calculator!$B$5*$F227/Calculator!$B$7))</f>
        <v/>
      </c>
      <c r="I227" s="11" t="str">
        <f aca="false">IF($B227="","",$L226*Calculator!$B$6*$F227/Calculator!$B$7)</f>
        <v/>
      </c>
      <c r="J227" s="11" t="str">
        <f aca="false">IF($B227="","",MAX(0,$H227-$I227))</f>
        <v/>
      </c>
      <c r="K227" s="11" t="str">
        <f aca="false">IF($B227="","",IF($D227&lt;&gt;"",$D227,$G227-$H227))</f>
        <v/>
      </c>
      <c r="L227" s="11" t="str">
        <f aca="false">IF($B227="","",$L226-$K227)</f>
        <v/>
      </c>
      <c r="M227" s="5"/>
    </row>
    <row r="228" customFormat="false" ht="15" hidden="false" customHeight="false" outlineLevel="0" collapsed="false">
      <c r="A228" s="20" t="n">
        <v>222</v>
      </c>
      <c r="B228" s="8"/>
      <c r="C228" s="5"/>
      <c r="D228" s="5"/>
      <c r="E228" s="5"/>
      <c r="F228" s="21" t="str">
        <f aca="false">IF($B228="","",$B228-$B227)</f>
        <v/>
      </c>
      <c r="G228" s="11" t="str">
        <f aca="false">IF($B228="","",IF($C228&lt;&gt;"",$C228,N($D228)+N($E228)))</f>
        <v/>
      </c>
      <c r="H228" s="11" t="str">
        <f aca="false">IF($B228="","",IF($E228&lt;&gt;"",$E228,$L227*Calculator!$B$5*$F228/Calculator!$B$7))</f>
        <v/>
      </c>
      <c r="I228" s="11" t="str">
        <f aca="false">IF($B228="","",$L227*Calculator!$B$6*$F228/Calculator!$B$7)</f>
        <v/>
      </c>
      <c r="J228" s="11" t="str">
        <f aca="false">IF($B228="","",MAX(0,$H228-$I228))</f>
        <v/>
      </c>
      <c r="K228" s="11" t="str">
        <f aca="false">IF($B228="","",IF($D228&lt;&gt;"",$D228,$G228-$H228))</f>
        <v/>
      </c>
      <c r="L228" s="11" t="str">
        <f aca="false">IF($B228="","",$L227-$K228)</f>
        <v/>
      </c>
      <c r="M228" s="5"/>
    </row>
    <row r="229" customFormat="false" ht="15" hidden="false" customHeight="false" outlineLevel="0" collapsed="false">
      <c r="A229" s="20" t="n">
        <v>223</v>
      </c>
      <c r="B229" s="8"/>
      <c r="C229" s="5"/>
      <c r="D229" s="5"/>
      <c r="E229" s="5"/>
      <c r="F229" s="21" t="str">
        <f aca="false">IF($B229="","",$B229-$B228)</f>
        <v/>
      </c>
      <c r="G229" s="11" t="str">
        <f aca="false">IF($B229="","",IF($C229&lt;&gt;"",$C229,N($D229)+N($E229)))</f>
        <v/>
      </c>
      <c r="H229" s="11" t="str">
        <f aca="false">IF($B229="","",IF($E229&lt;&gt;"",$E229,$L228*Calculator!$B$5*$F229/Calculator!$B$7))</f>
        <v/>
      </c>
      <c r="I229" s="11" t="str">
        <f aca="false">IF($B229="","",$L228*Calculator!$B$6*$F229/Calculator!$B$7)</f>
        <v/>
      </c>
      <c r="J229" s="11" t="str">
        <f aca="false">IF($B229="","",MAX(0,$H229-$I229))</f>
        <v/>
      </c>
      <c r="K229" s="11" t="str">
        <f aca="false">IF($B229="","",IF($D229&lt;&gt;"",$D229,$G229-$H229))</f>
        <v/>
      </c>
      <c r="L229" s="11" t="str">
        <f aca="false">IF($B229="","",$L228-$K229)</f>
        <v/>
      </c>
      <c r="M229" s="5"/>
    </row>
    <row r="230" customFormat="false" ht="15" hidden="false" customHeight="false" outlineLevel="0" collapsed="false">
      <c r="A230" s="20" t="n">
        <v>224</v>
      </c>
      <c r="B230" s="8"/>
      <c r="C230" s="5"/>
      <c r="D230" s="5"/>
      <c r="E230" s="5"/>
      <c r="F230" s="21" t="str">
        <f aca="false">IF($B230="","",$B230-$B229)</f>
        <v/>
      </c>
      <c r="G230" s="11" t="str">
        <f aca="false">IF($B230="","",IF($C230&lt;&gt;"",$C230,N($D230)+N($E230)))</f>
        <v/>
      </c>
      <c r="H230" s="11" t="str">
        <f aca="false">IF($B230="","",IF($E230&lt;&gt;"",$E230,$L229*Calculator!$B$5*$F230/Calculator!$B$7))</f>
        <v/>
      </c>
      <c r="I230" s="11" t="str">
        <f aca="false">IF($B230="","",$L229*Calculator!$B$6*$F230/Calculator!$B$7)</f>
        <v/>
      </c>
      <c r="J230" s="11" t="str">
        <f aca="false">IF($B230="","",MAX(0,$H230-$I230))</f>
        <v/>
      </c>
      <c r="K230" s="11" t="str">
        <f aca="false">IF($B230="","",IF($D230&lt;&gt;"",$D230,$G230-$H230))</f>
        <v/>
      </c>
      <c r="L230" s="11" t="str">
        <f aca="false">IF($B230="","",$L229-$K230)</f>
        <v/>
      </c>
      <c r="M230" s="5"/>
    </row>
    <row r="231" customFormat="false" ht="15" hidden="false" customHeight="false" outlineLevel="0" collapsed="false">
      <c r="A231" s="20" t="n">
        <v>225</v>
      </c>
      <c r="B231" s="8"/>
      <c r="C231" s="5"/>
      <c r="D231" s="5"/>
      <c r="E231" s="5"/>
      <c r="F231" s="21" t="str">
        <f aca="false">IF($B231="","",$B231-$B230)</f>
        <v/>
      </c>
      <c r="G231" s="11" t="str">
        <f aca="false">IF($B231="","",IF($C231&lt;&gt;"",$C231,N($D231)+N($E231)))</f>
        <v/>
      </c>
      <c r="H231" s="11" t="str">
        <f aca="false">IF($B231="","",IF($E231&lt;&gt;"",$E231,$L230*Calculator!$B$5*$F231/Calculator!$B$7))</f>
        <v/>
      </c>
      <c r="I231" s="11" t="str">
        <f aca="false">IF($B231="","",$L230*Calculator!$B$6*$F231/Calculator!$B$7)</f>
        <v/>
      </c>
      <c r="J231" s="11" t="str">
        <f aca="false">IF($B231="","",MAX(0,$H231-$I231))</f>
        <v/>
      </c>
      <c r="K231" s="11" t="str">
        <f aca="false">IF($B231="","",IF($D231&lt;&gt;"",$D231,$G231-$H231))</f>
        <v/>
      </c>
      <c r="L231" s="11" t="str">
        <f aca="false">IF($B231="","",$L230-$K231)</f>
        <v/>
      </c>
      <c r="M231" s="5"/>
    </row>
    <row r="232" customFormat="false" ht="15" hidden="false" customHeight="false" outlineLevel="0" collapsed="false">
      <c r="A232" s="20" t="n">
        <v>226</v>
      </c>
      <c r="B232" s="8"/>
      <c r="C232" s="5"/>
      <c r="D232" s="5"/>
      <c r="E232" s="5"/>
      <c r="F232" s="21" t="str">
        <f aca="false">IF($B232="","",$B232-$B231)</f>
        <v/>
      </c>
      <c r="G232" s="11" t="str">
        <f aca="false">IF($B232="","",IF($C232&lt;&gt;"",$C232,N($D232)+N($E232)))</f>
        <v/>
      </c>
      <c r="H232" s="11" t="str">
        <f aca="false">IF($B232="","",IF($E232&lt;&gt;"",$E232,$L231*Calculator!$B$5*$F232/Calculator!$B$7))</f>
        <v/>
      </c>
      <c r="I232" s="11" t="str">
        <f aca="false">IF($B232="","",$L231*Calculator!$B$6*$F232/Calculator!$B$7)</f>
        <v/>
      </c>
      <c r="J232" s="11" t="str">
        <f aca="false">IF($B232="","",MAX(0,$H232-$I232))</f>
        <v/>
      </c>
      <c r="K232" s="11" t="str">
        <f aca="false">IF($B232="","",IF($D232&lt;&gt;"",$D232,$G232-$H232))</f>
        <v/>
      </c>
      <c r="L232" s="11" t="str">
        <f aca="false">IF($B232="","",$L231-$K232)</f>
        <v/>
      </c>
      <c r="M232" s="5"/>
    </row>
    <row r="233" customFormat="false" ht="15" hidden="false" customHeight="false" outlineLevel="0" collapsed="false">
      <c r="A233" s="20" t="n">
        <v>227</v>
      </c>
      <c r="B233" s="8"/>
      <c r="C233" s="5"/>
      <c r="D233" s="5"/>
      <c r="E233" s="5"/>
      <c r="F233" s="21" t="str">
        <f aca="false">IF($B233="","",$B233-$B232)</f>
        <v/>
      </c>
      <c r="G233" s="11" t="str">
        <f aca="false">IF($B233="","",IF($C233&lt;&gt;"",$C233,N($D233)+N($E233)))</f>
        <v/>
      </c>
      <c r="H233" s="11" t="str">
        <f aca="false">IF($B233="","",IF($E233&lt;&gt;"",$E233,$L232*Calculator!$B$5*$F233/Calculator!$B$7))</f>
        <v/>
      </c>
      <c r="I233" s="11" t="str">
        <f aca="false">IF($B233="","",$L232*Calculator!$B$6*$F233/Calculator!$B$7)</f>
        <v/>
      </c>
      <c r="J233" s="11" t="str">
        <f aca="false">IF($B233="","",MAX(0,$H233-$I233))</f>
        <v/>
      </c>
      <c r="K233" s="11" t="str">
        <f aca="false">IF($B233="","",IF($D233&lt;&gt;"",$D233,$G233-$H233))</f>
        <v/>
      </c>
      <c r="L233" s="11" t="str">
        <f aca="false">IF($B233="","",$L232-$K233)</f>
        <v/>
      </c>
      <c r="M233" s="5"/>
    </row>
    <row r="234" customFormat="false" ht="15" hidden="false" customHeight="false" outlineLevel="0" collapsed="false">
      <c r="A234" s="20" t="n">
        <v>228</v>
      </c>
      <c r="B234" s="8"/>
      <c r="C234" s="5"/>
      <c r="D234" s="5"/>
      <c r="E234" s="5"/>
      <c r="F234" s="21" t="str">
        <f aca="false">IF($B234="","",$B234-$B233)</f>
        <v/>
      </c>
      <c r="G234" s="11" t="str">
        <f aca="false">IF($B234="","",IF($C234&lt;&gt;"",$C234,N($D234)+N($E234)))</f>
        <v/>
      </c>
      <c r="H234" s="11" t="str">
        <f aca="false">IF($B234="","",IF($E234&lt;&gt;"",$E234,$L233*Calculator!$B$5*$F234/Calculator!$B$7))</f>
        <v/>
      </c>
      <c r="I234" s="11" t="str">
        <f aca="false">IF($B234="","",$L233*Calculator!$B$6*$F234/Calculator!$B$7)</f>
        <v/>
      </c>
      <c r="J234" s="11" t="str">
        <f aca="false">IF($B234="","",MAX(0,$H234-$I234))</f>
        <v/>
      </c>
      <c r="K234" s="11" t="str">
        <f aca="false">IF($B234="","",IF($D234&lt;&gt;"",$D234,$G234-$H234))</f>
        <v/>
      </c>
      <c r="L234" s="11" t="str">
        <f aca="false">IF($B234="","",$L233-$K234)</f>
        <v/>
      </c>
      <c r="M234" s="5"/>
    </row>
    <row r="235" customFormat="false" ht="15" hidden="false" customHeight="false" outlineLevel="0" collapsed="false">
      <c r="A235" s="20" t="n">
        <v>229</v>
      </c>
      <c r="B235" s="8"/>
      <c r="C235" s="5"/>
      <c r="D235" s="5"/>
      <c r="E235" s="5"/>
      <c r="F235" s="21" t="str">
        <f aca="false">IF($B235="","",$B235-$B234)</f>
        <v/>
      </c>
      <c r="G235" s="11" t="str">
        <f aca="false">IF($B235="","",IF($C235&lt;&gt;"",$C235,N($D235)+N($E235)))</f>
        <v/>
      </c>
      <c r="H235" s="11" t="str">
        <f aca="false">IF($B235="","",IF($E235&lt;&gt;"",$E235,$L234*Calculator!$B$5*$F235/Calculator!$B$7))</f>
        <v/>
      </c>
      <c r="I235" s="11" t="str">
        <f aca="false">IF($B235="","",$L234*Calculator!$B$6*$F235/Calculator!$B$7)</f>
        <v/>
      </c>
      <c r="J235" s="11" t="str">
        <f aca="false">IF($B235="","",MAX(0,$H235-$I235))</f>
        <v/>
      </c>
      <c r="K235" s="11" t="str">
        <f aca="false">IF($B235="","",IF($D235&lt;&gt;"",$D235,$G235-$H235))</f>
        <v/>
      </c>
      <c r="L235" s="11" t="str">
        <f aca="false">IF($B235="","",$L234-$K235)</f>
        <v/>
      </c>
      <c r="M235" s="5"/>
    </row>
    <row r="236" customFormat="false" ht="15" hidden="false" customHeight="false" outlineLevel="0" collapsed="false">
      <c r="A236" s="20" t="n">
        <v>230</v>
      </c>
      <c r="B236" s="8"/>
      <c r="C236" s="5"/>
      <c r="D236" s="5"/>
      <c r="E236" s="5"/>
      <c r="F236" s="21" t="str">
        <f aca="false">IF($B236="","",$B236-$B235)</f>
        <v/>
      </c>
      <c r="G236" s="11" t="str">
        <f aca="false">IF($B236="","",IF($C236&lt;&gt;"",$C236,N($D236)+N($E236)))</f>
        <v/>
      </c>
      <c r="H236" s="11" t="str">
        <f aca="false">IF($B236="","",IF($E236&lt;&gt;"",$E236,$L235*Calculator!$B$5*$F236/Calculator!$B$7))</f>
        <v/>
      </c>
      <c r="I236" s="11" t="str">
        <f aca="false">IF($B236="","",$L235*Calculator!$B$6*$F236/Calculator!$B$7)</f>
        <v/>
      </c>
      <c r="J236" s="11" t="str">
        <f aca="false">IF($B236="","",MAX(0,$H236-$I236))</f>
        <v/>
      </c>
      <c r="K236" s="11" t="str">
        <f aca="false">IF($B236="","",IF($D236&lt;&gt;"",$D236,$G236-$H236))</f>
        <v/>
      </c>
      <c r="L236" s="11" t="str">
        <f aca="false">IF($B236="","",$L235-$K236)</f>
        <v/>
      </c>
      <c r="M236" s="5"/>
    </row>
    <row r="237" customFormat="false" ht="15" hidden="false" customHeight="false" outlineLevel="0" collapsed="false">
      <c r="A237" s="20" t="n">
        <v>231</v>
      </c>
      <c r="B237" s="8"/>
      <c r="C237" s="5"/>
      <c r="D237" s="5"/>
      <c r="E237" s="5"/>
      <c r="F237" s="21" t="str">
        <f aca="false">IF($B237="","",$B237-$B236)</f>
        <v/>
      </c>
      <c r="G237" s="11" t="str">
        <f aca="false">IF($B237="","",IF($C237&lt;&gt;"",$C237,N($D237)+N($E237)))</f>
        <v/>
      </c>
      <c r="H237" s="11" t="str">
        <f aca="false">IF($B237="","",IF($E237&lt;&gt;"",$E237,$L236*Calculator!$B$5*$F237/Calculator!$B$7))</f>
        <v/>
      </c>
      <c r="I237" s="11" t="str">
        <f aca="false">IF($B237="","",$L236*Calculator!$B$6*$F237/Calculator!$B$7)</f>
        <v/>
      </c>
      <c r="J237" s="11" t="str">
        <f aca="false">IF($B237="","",MAX(0,$H237-$I237))</f>
        <v/>
      </c>
      <c r="K237" s="11" t="str">
        <f aca="false">IF($B237="","",IF($D237&lt;&gt;"",$D237,$G237-$H237))</f>
        <v/>
      </c>
      <c r="L237" s="11" t="str">
        <f aca="false">IF($B237="","",$L236-$K237)</f>
        <v/>
      </c>
      <c r="M237" s="5"/>
    </row>
    <row r="238" customFormat="false" ht="15" hidden="false" customHeight="false" outlineLevel="0" collapsed="false">
      <c r="A238" s="20" t="n">
        <v>232</v>
      </c>
      <c r="B238" s="8"/>
      <c r="C238" s="5"/>
      <c r="D238" s="5"/>
      <c r="E238" s="5"/>
      <c r="F238" s="21" t="str">
        <f aca="false">IF($B238="","",$B238-$B237)</f>
        <v/>
      </c>
      <c r="G238" s="11" t="str">
        <f aca="false">IF($B238="","",IF($C238&lt;&gt;"",$C238,N($D238)+N($E238)))</f>
        <v/>
      </c>
      <c r="H238" s="11" t="str">
        <f aca="false">IF($B238="","",IF($E238&lt;&gt;"",$E238,$L237*Calculator!$B$5*$F238/Calculator!$B$7))</f>
        <v/>
      </c>
      <c r="I238" s="11" t="str">
        <f aca="false">IF($B238="","",$L237*Calculator!$B$6*$F238/Calculator!$B$7)</f>
        <v/>
      </c>
      <c r="J238" s="11" t="str">
        <f aca="false">IF($B238="","",MAX(0,$H238-$I238))</f>
        <v/>
      </c>
      <c r="K238" s="11" t="str">
        <f aca="false">IF($B238="","",IF($D238&lt;&gt;"",$D238,$G238-$H238))</f>
        <v/>
      </c>
      <c r="L238" s="11" t="str">
        <f aca="false">IF($B238="","",$L237-$K238)</f>
        <v/>
      </c>
      <c r="M238" s="5"/>
    </row>
    <row r="239" customFormat="false" ht="15" hidden="false" customHeight="false" outlineLevel="0" collapsed="false">
      <c r="A239" s="20" t="n">
        <v>233</v>
      </c>
      <c r="B239" s="8"/>
      <c r="C239" s="5"/>
      <c r="D239" s="5"/>
      <c r="E239" s="5"/>
      <c r="F239" s="21" t="str">
        <f aca="false">IF($B239="","",$B239-$B238)</f>
        <v/>
      </c>
      <c r="G239" s="11" t="str">
        <f aca="false">IF($B239="","",IF($C239&lt;&gt;"",$C239,N($D239)+N($E239)))</f>
        <v/>
      </c>
      <c r="H239" s="11" t="str">
        <f aca="false">IF($B239="","",IF($E239&lt;&gt;"",$E239,$L238*Calculator!$B$5*$F239/Calculator!$B$7))</f>
        <v/>
      </c>
      <c r="I239" s="11" t="str">
        <f aca="false">IF($B239="","",$L238*Calculator!$B$6*$F239/Calculator!$B$7)</f>
        <v/>
      </c>
      <c r="J239" s="11" t="str">
        <f aca="false">IF($B239="","",MAX(0,$H239-$I239))</f>
        <v/>
      </c>
      <c r="K239" s="11" t="str">
        <f aca="false">IF($B239="","",IF($D239&lt;&gt;"",$D239,$G239-$H239))</f>
        <v/>
      </c>
      <c r="L239" s="11" t="str">
        <f aca="false">IF($B239="","",$L238-$K239)</f>
        <v/>
      </c>
      <c r="M239" s="5"/>
    </row>
    <row r="240" customFormat="false" ht="15" hidden="false" customHeight="false" outlineLevel="0" collapsed="false">
      <c r="A240" s="20" t="n">
        <v>234</v>
      </c>
      <c r="B240" s="8"/>
      <c r="C240" s="5"/>
      <c r="D240" s="5"/>
      <c r="E240" s="5"/>
      <c r="F240" s="21" t="str">
        <f aca="false">IF($B240="","",$B240-$B239)</f>
        <v/>
      </c>
      <c r="G240" s="11" t="str">
        <f aca="false">IF($B240="","",IF($C240&lt;&gt;"",$C240,N($D240)+N($E240)))</f>
        <v/>
      </c>
      <c r="H240" s="11" t="str">
        <f aca="false">IF($B240="","",IF($E240&lt;&gt;"",$E240,$L239*Calculator!$B$5*$F240/Calculator!$B$7))</f>
        <v/>
      </c>
      <c r="I240" s="11" t="str">
        <f aca="false">IF($B240="","",$L239*Calculator!$B$6*$F240/Calculator!$B$7)</f>
        <v/>
      </c>
      <c r="J240" s="11" t="str">
        <f aca="false">IF($B240="","",MAX(0,$H240-$I240))</f>
        <v/>
      </c>
      <c r="K240" s="11" t="str">
        <f aca="false">IF($B240="","",IF($D240&lt;&gt;"",$D240,$G240-$H240))</f>
        <v/>
      </c>
      <c r="L240" s="11" t="str">
        <f aca="false">IF($B240="","",$L239-$K240)</f>
        <v/>
      </c>
      <c r="M240" s="5"/>
    </row>
    <row r="241" customFormat="false" ht="15" hidden="false" customHeight="false" outlineLevel="0" collapsed="false">
      <c r="A241" s="20" t="n">
        <v>235</v>
      </c>
      <c r="B241" s="8"/>
      <c r="C241" s="5"/>
      <c r="D241" s="5"/>
      <c r="E241" s="5"/>
      <c r="F241" s="21" t="str">
        <f aca="false">IF($B241="","",$B241-$B240)</f>
        <v/>
      </c>
      <c r="G241" s="11" t="str">
        <f aca="false">IF($B241="","",IF($C241&lt;&gt;"",$C241,N($D241)+N($E241)))</f>
        <v/>
      </c>
      <c r="H241" s="11" t="str">
        <f aca="false">IF($B241="","",IF($E241&lt;&gt;"",$E241,$L240*Calculator!$B$5*$F241/Calculator!$B$7))</f>
        <v/>
      </c>
      <c r="I241" s="11" t="str">
        <f aca="false">IF($B241="","",$L240*Calculator!$B$6*$F241/Calculator!$B$7)</f>
        <v/>
      </c>
      <c r="J241" s="11" t="str">
        <f aca="false">IF($B241="","",MAX(0,$H241-$I241))</f>
        <v/>
      </c>
      <c r="K241" s="11" t="str">
        <f aca="false">IF($B241="","",IF($D241&lt;&gt;"",$D241,$G241-$H241))</f>
        <v/>
      </c>
      <c r="L241" s="11" t="str">
        <f aca="false">IF($B241="","",$L240-$K241)</f>
        <v/>
      </c>
      <c r="M241" s="5"/>
    </row>
    <row r="242" customFormat="false" ht="15" hidden="false" customHeight="false" outlineLevel="0" collapsed="false">
      <c r="A242" s="20" t="n">
        <v>236</v>
      </c>
      <c r="B242" s="8"/>
      <c r="C242" s="5"/>
      <c r="D242" s="5"/>
      <c r="E242" s="5"/>
      <c r="F242" s="21" t="str">
        <f aca="false">IF($B242="","",$B242-$B241)</f>
        <v/>
      </c>
      <c r="G242" s="11" t="str">
        <f aca="false">IF($B242="","",IF($C242&lt;&gt;"",$C242,N($D242)+N($E242)))</f>
        <v/>
      </c>
      <c r="H242" s="11" t="str">
        <f aca="false">IF($B242="","",IF($E242&lt;&gt;"",$E242,$L241*Calculator!$B$5*$F242/Calculator!$B$7))</f>
        <v/>
      </c>
      <c r="I242" s="11" t="str">
        <f aca="false">IF($B242="","",$L241*Calculator!$B$6*$F242/Calculator!$B$7)</f>
        <v/>
      </c>
      <c r="J242" s="11" t="str">
        <f aca="false">IF($B242="","",MAX(0,$H242-$I242))</f>
        <v/>
      </c>
      <c r="K242" s="11" t="str">
        <f aca="false">IF($B242="","",IF($D242&lt;&gt;"",$D242,$G242-$H242))</f>
        <v/>
      </c>
      <c r="L242" s="11" t="str">
        <f aca="false">IF($B242="","",$L241-$K242)</f>
        <v/>
      </c>
      <c r="M242" s="5"/>
    </row>
    <row r="243" customFormat="false" ht="15" hidden="false" customHeight="false" outlineLevel="0" collapsed="false">
      <c r="A243" s="20" t="n">
        <v>237</v>
      </c>
      <c r="B243" s="8"/>
      <c r="C243" s="5"/>
      <c r="D243" s="5"/>
      <c r="E243" s="5"/>
      <c r="F243" s="21" t="str">
        <f aca="false">IF($B243="","",$B243-$B242)</f>
        <v/>
      </c>
      <c r="G243" s="11" t="str">
        <f aca="false">IF($B243="","",IF($C243&lt;&gt;"",$C243,N($D243)+N($E243)))</f>
        <v/>
      </c>
      <c r="H243" s="11" t="str">
        <f aca="false">IF($B243="","",IF($E243&lt;&gt;"",$E243,$L242*Calculator!$B$5*$F243/Calculator!$B$7))</f>
        <v/>
      </c>
      <c r="I243" s="11" t="str">
        <f aca="false">IF($B243="","",$L242*Calculator!$B$6*$F243/Calculator!$B$7)</f>
        <v/>
      </c>
      <c r="J243" s="11" t="str">
        <f aca="false">IF($B243="","",MAX(0,$H243-$I243))</f>
        <v/>
      </c>
      <c r="K243" s="11" t="str">
        <f aca="false">IF($B243="","",IF($D243&lt;&gt;"",$D243,$G243-$H243))</f>
        <v/>
      </c>
      <c r="L243" s="11" t="str">
        <f aca="false">IF($B243="","",$L242-$K243)</f>
        <v/>
      </c>
      <c r="M243" s="5"/>
    </row>
    <row r="244" customFormat="false" ht="15" hidden="false" customHeight="false" outlineLevel="0" collapsed="false">
      <c r="A244" s="20" t="n">
        <v>238</v>
      </c>
      <c r="B244" s="8"/>
      <c r="C244" s="5"/>
      <c r="D244" s="5"/>
      <c r="E244" s="5"/>
      <c r="F244" s="21" t="str">
        <f aca="false">IF($B244="","",$B244-$B243)</f>
        <v/>
      </c>
      <c r="G244" s="11" t="str">
        <f aca="false">IF($B244="","",IF($C244&lt;&gt;"",$C244,N($D244)+N($E244)))</f>
        <v/>
      </c>
      <c r="H244" s="11" t="str">
        <f aca="false">IF($B244="","",IF($E244&lt;&gt;"",$E244,$L243*Calculator!$B$5*$F244/Calculator!$B$7))</f>
        <v/>
      </c>
      <c r="I244" s="11" t="str">
        <f aca="false">IF($B244="","",$L243*Calculator!$B$6*$F244/Calculator!$B$7)</f>
        <v/>
      </c>
      <c r="J244" s="11" t="str">
        <f aca="false">IF($B244="","",MAX(0,$H244-$I244))</f>
        <v/>
      </c>
      <c r="K244" s="11" t="str">
        <f aca="false">IF($B244="","",IF($D244&lt;&gt;"",$D244,$G244-$H244))</f>
        <v/>
      </c>
      <c r="L244" s="11" t="str">
        <f aca="false">IF($B244="","",$L243-$K244)</f>
        <v/>
      </c>
      <c r="M244" s="5"/>
    </row>
    <row r="245" customFormat="false" ht="15" hidden="false" customHeight="false" outlineLevel="0" collapsed="false">
      <c r="A245" s="20" t="n">
        <v>239</v>
      </c>
      <c r="B245" s="8"/>
      <c r="C245" s="5"/>
      <c r="D245" s="5"/>
      <c r="E245" s="5"/>
      <c r="F245" s="21" t="str">
        <f aca="false">IF($B245="","",$B245-$B244)</f>
        <v/>
      </c>
      <c r="G245" s="11" t="str">
        <f aca="false">IF($B245="","",IF($C245&lt;&gt;"",$C245,N($D245)+N($E245)))</f>
        <v/>
      </c>
      <c r="H245" s="11" t="str">
        <f aca="false">IF($B245="","",IF($E245&lt;&gt;"",$E245,$L244*Calculator!$B$5*$F245/Calculator!$B$7))</f>
        <v/>
      </c>
      <c r="I245" s="11" t="str">
        <f aca="false">IF($B245="","",$L244*Calculator!$B$6*$F245/Calculator!$B$7)</f>
        <v/>
      </c>
      <c r="J245" s="11" t="str">
        <f aca="false">IF($B245="","",MAX(0,$H245-$I245))</f>
        <v/>
      </c>
      <c r="K245" s="11" t="str">
        <f aca="false">IF($B245="","",IF($D245&lt;&gt;"",$D245,$G245-$H245))</f>
        <v/>
      </c>
      <c r="L245" s="11" t="str">
        <f aca="false">IF($B245="","",$L244-$K245)</f>
        <v/>
      </c>
      <c r="M245" s="5"/>
    </row>
    <row r="246" customFormat="false" ht="15" hidden="false" customHeight="false" outlineLevel="0" collapsed="false">
      <c r="A246" s="20" t="n">
        <v>240</v>
      </c>
      <c r="B246" s="8"/>
      <c r="C246" s="5"/>
      <c r="D246" s="5"/>
      <c r="E246" s="5"/>
      <c r="F246" s="21" t="str">
        <f aca="false">IF($B246="","",$B246-$B245)</f>
        <v/>
      </c>
      <c r="G246" s="11" t="str">
        <f aca="false">IF($B246="","",IF($C246&lt;&gt;"",$C246,N($D246)+N($E246)))</f>
        <v/>
      </c>
      <c r="H246" s="11" t="str">
        <f aca="false">IF($B246="","",IF($E246&lt;&gt;"",$E246,$L245*Calculator!$B$5*$F246/Calculator!$B$7))</f>
        <v/>
      </c>
      <c r="I246" s="11" t="str">
        <f aca="false">IF($B246="","",$L245*Calculator!$B$6*$F246/Calculator!$B$7)</f>
        <v/>
      </c>
      <c r="J246" s="11" t="str">
        <f aca="false">IF($B246="","",MAX(0,$H246-$I246))</f>
        <v/>
      </c>
      <c r="K246" s="11" t="str">
        <f aca="false">IF($B246="","",IF($D246&lt;&gt;"",$D246,$G246-$H246))</f>
        <v/>
      </c>
      <c r="L246" s="11" t="str">
        <f aca="false">IF($B246="","",$L245-$K246)</f>
        <v/>
      </c>
      <c r="M246" s="5"/>
    </row>
    <row r="247" customFormat="false" ht="15" hidden="false" customHeight="false" outlineLevel="0" collapsed="false">
      <c r="A247" s="20" t="n">
        <v>241</v>
      </c>
      <c r="B247" s="8"/>
      <c r="C247" s="5"/>
      <c r="D247" s="5"/>
      <c r="E247" s="5"/>
      <c r="F247" s="21" t="str">
        <f aca="false">IF($B247="","",$B247-$B246)</f>
        <v/>
      </c>
      <c r="G247" s="11" t="str">
        <f aca="false">IF($B247="","",IF($C247&lt;&gt;"",$C247,N($D247)+N($E247)))</f>
        <v/>
      </c>
      <c r="H247" s="11" t="str">
        <f aca="false">IF($B247="","",IF($E247&lt;&gt;"",$E247,$L246*Calculator!$B$5*$F247/Calculator!$B$7))</f>
        <v/>
      </c>
      <c r="I247" s="11" t="str">
        <f aca="false">IF($B247="","",$L246*Calculator!$B$6*$F247/Calculator!$B$7)</f>
        <v/>
      </c>
      <c r="J247" s="11" t="str">
        <f aca="false">IF($B247="","",MAX(0,$H247-$I247))</f>
        <v/>
      </c>
      <c r="K247" s="11" t="str">
        <f aca="false">IF($B247="","",IF($D247&lt;&gt;"",$D247,$G247-$H247))</f>
        <v/>
      </c>
      <c r="L247" s="11" t="str">
        <f aca="false">IF($B247="","",$L246-$K247)</f>
        <v/>
      </c>
      <c r="M247" s="5"/>
    </row>
    <row r="248" customFormat="false" ht="15" hidden="false" customHeight="false" outlineLevel="0" collapsed="false">
      <c r="A248" s="20" t="n">
        <v>242</v>
      </c>
      <c r="B248" s="8"/>
      <c r="C248" s="5"/>
      <c r="D248" s="5"/>
      <c r="E248" s="5"/>
      <c r="F248" s="21" t="str">
        <f aca="false">IF($B248="","",$B248-$B247)</f>
        <v/>
      </c>
      <c r="G248" s="11" t="str">
        <f aca="false">IF($B248="","",IF($C248&lt;&gt;"",$C248,N($D248)+N($E248)))</f>
        <v/>
      </c>
      <c r="H248" s="11" t="str">
        <f aca="false">IF($B248="","",IF($E248&lt;&gt;"",$E248,$L247*Calculator!$B$5*$F248/Calculator!$B$7))</f>
        <v/>
      </c>
      <c r="I248" s="11" t="str">
        <f aca="false">IF($B248="","",$L247*Calculator!$B$6*$F248/Calculator!$B$7)</f>
        <v/>
      </c>
      <c r="J248" s="11" t="str">
        <f aca="false">IF($B248="","",MAX(0,$H248-$I248))</f>
        <v/>
      </c>
      <c r="K248" s="11" t="str">
        <f aca="false">IF($B248="","",IF($D248&lt;&gt;"",$D248,$G248-$H248))</f>
        <v/>
      </c>
      <c r="L248" s="11" t="str">
        <f aca="false">IF($B248="","",$L247-$K248)</f>
        <v/>
      </c>
      <c r="M248" s="5"/>
    </row>
    <row r="249" customFormat="false" ht="15" hidden="false" customHeight="false" outlineLevel="0" collapsed="false">
      <c r="A249" s="20" t="n">
        <v>243</v>
      </c>
      <c r="B249" s="8"/>
      <c r="C249" s="5"/>
      <c r="D249" s="5"/>
      <c r="E249" s="5"/>
      <c r="F249" s="21" t="str">
        <f aca="false">IF($B249="","",$B249-$B248)</f>
        <v/>
      </c>
      <c r="G249" s="11" t="str">
        <f aca="false">IF($B249="","",IF($C249&lt;&gt;"",$C249,N($D249)+N($E249)))</f>
        <v/>
      </c>
      <c r="H249" s="11" t="str">
        <f aca="false">IF($B249="","",IF($E249&lt;&gt;"",$E249,$L248*Calculator!$B$5*$F249/Calculator!$B$7))</f>
        <v/>
      </c>
      <c r="I249" s="11" t="str">
        <f aca="false">IF($B249="","",$L248*Calculator!$B$6*$F249/Calculator!$B$7)</f>
        <v/>
      </c>
      <c r="J249" s="11" t="str">
        <f aca="false">IF($B249="","",MAX(0,$H249-$I249))</f>
        <v/>
      </c>
      <c r="K249" s="11" t="str">
        <f aca="false">IF($B249="","",IF($D249&lt;&gt;"",$D249,$G249-$H249))</f>
        <v/>
      </c>
      <c r="L249" s="11" t="str">
        <f aca="false">IF($B249="","",$L248-$K249)</f>
        <v/>
      </c>
      <c r="M249" s="5"/>
    </row>
    <row r="250" customFormat="false" ht="15" hidden="false" customHeight="false" outlineLevel="0" collapsed="false">
      <c r="A250" s="20" t="n">
        <v>244</v>
      </c>
      <c r="B250" s="8"/>
      <c r="C250" s="5"/>
      <c r="D250" s="5"/>
      <c r="E250" s="5"/>
      <c r="F250" s="21" t="str">
        <f aca="false">IF($B250="","",$B250-$B249)</f>
        <v/>
      </c>
      <c r="G250" s="11" t="str">
        <f aca="false">IF($B250="","",IF($C250&lt;&gt;"",$C250,N($D250)+N($E250)))</f>
        <v/>
      </c>
      <c r="H250" s="11" t="str">
        <f aca="false">IF($B250="","",IF($E250&lt;&gt;"",$E250,$L249*Calculator!$B$5*$F250/Calculator!$B$7))</f>
        <v/>
      </c>
      <c r="I250" s="11" t="str">
        <f aca="false">IF($B250="","",$L249*Calculator!$B$6*$F250/Calculator!$B$7)</f>
        <v/>
      </c>
      <c r="J250" s="11" t="str">
        <f aca="false">IF($B250="","",MAX(0,$H250-$I250))</f>
        <v/>
      </c>
      <c r="K250" s="11" t="str">
        <f aca="false">IF($B250="","",IF($D250&lt;&gt;"",$D250,$G250-$H250))</f>
        <v/>
      </c>
      <c r="L250" s="11" t="str">
        <f aca="false">IF($B250="","",$L249-$K250)</f>
        <v/>
      </c>
      <c r="M250" s="5"/>
    </row>
    <row r="251" customFormat="false" ht="15" hidden="false" customHeight="false" outlineLevel="0" collapsed="false">
      <c r="A251" s="20" t="n">
        <v>245</v>
      </c>
      <c r="B251" s="8"/>
      <c r="C251" s="5"/>
      <c r="D251" s="5"/>
      <c r="E251" s="5"/>
      <c r="F251" s="21" t="str">
        <f aca="false">IF($B251="","",$B251-$B250)</f>
        <v/>
      </c>
      <c r="G251" s="11" t="str">
        <f aca="false">IF($B251="","",IF($C251&lt;&gt;"",$C251,N($D251)+N($E251)))</f>
        <v/>
      </c>
      <c r="H251" s="11" t="str">
        <f aca="false">IF($B251="","",IF($E251&lt;&gt;"",$E251,$L250*Calculator!$B$5*$F251/Calculator!$B$7))</f>
        <v/>
      </c>
      <c r="I251" s="11" t="str">
        <f aca="false">IF($B251="","",$L250*Calculator!$B$6*$F251/Calculator!$B$7)</f>
        <v/>
      </c>
      <c r="J251" s="11" t="str">
        <f aca="false">IF($B251="","",MAX(0,$H251-$I251))</f>
        <v/>
      </c>
      <c r="K251" s="11" t="str">
        <f aca="false">IF($B251="","",IF($D251&lt;&gt;"",$D251,$G251-$H251))</f>
        <v/>
      </c>
      <c r="L251" s="11" t="str">
        <f aca="false">IF($B251="","",$L250-$K251)</f>
        <v/>
      </c>
      <c r="M251" s="5"/>
    </row>
    <row r="252" customFormat="false" ht="15" hidden="false" customHeight="false" outlineLevel="0" collapsed="false">
      <c r="A252" s="20" t="n">
        <v>246</v>
      </c>
      <c r="B252" s="8"/>
      <c r="C252" s="5"/>
      <c r="D252" s="5"/>
      <c r="E252" s="5"/>
      <c r="F252" s="21" t="str">
        <f aca="false">IF($B252="","",$B252-$B251)</f>
        <v/>
      </c>
      <c r="G252" s="11" t="str">
        <f aca="false">IF($B252="","",IF($C252&lt;&gt;"",$C252,N($D252)+N($E252)))</f>
        <v/>
      </c>
      <c r="H252" s="11" t="str">
        <f aca="false">IF($B252="","",IF($E252&lt;&gt;"",$E252,$L251*Calculator!$B$5*$F252/Calculator!$B$7))</f>
        <v/>
      </c>
      <c r="I252" s="11" t="str">
        <f aca="false">IF($B252="","",$L251*Calculator!$B$6*$F252/Calculator!$B$7)</f>
        <v/>
      </c>
      <c r="J252" s="11" t="str">
        <f aca="false">IF($B252="","",MAX(0,$H252-$I252))</f>
        <v/>
      </c>
      <c r="K252" s="11" t="str">
        <f aca="false">IF($B252="","",IF($D252&lt;&gt;"",$D252,$G252-$H252))</f>
        <v/>
      </c>
      <c r="L252" s="11" t="str">
        <f aca="false">IF($B252="","",$L251-$K252)</f>
        <v/>
      </c>
      <c r="M252" s="5"/>
    </row>
    <row r="253" customFormat="false" ht="15" hidden="false" customHeight="false" outlineLevel="0" collapsed="false">
      <c r="A253" s="20" t="n">
        <v>247</v>
      </c>
      <c r="B253" s="8"/>
      <c r="C253" s="5"/>
      <c r="D253" s="5"/>
      <c r="E253" s="5"/>
      <c r="F253" s="21" t="str">
        <f aca="false">IF($B253="","",$B253-$B252)</f>
        <v/>
      </c>
      <c r="G253" s="11" t="str">
        <f aca="false">IF($B253="","",IF($C253&lt;&gt;"",$C253,N($D253)+N($E253)))</f>
        <v/>
      </c>
      <c r="H253" s="11" t="str">
        <f aca="false">IF($B253="","",IF($E253&lt;&gt;"",$E253,$L252*Calculator!$B$5*$F253/Calculator!$B$7))</f>
        <v/>
      </c>
      <c r="I253" s="11" t="str">
        <f aca="false">IF($B253="","",$L252*Calculator!$B$6*$F253/Calculator!$B$7)</f>
        <v/>
      </c>
      <c r="J253" s="11" t="str">
        <f aca="false">IF($B253="","",MAX(0,$H253-$I253))</f>
        <v/>
      </c>
      <c r="K253" s="11" t="str">
        <f aca="false">IF($B253="","",IF($D253&lt;&gt;"",$D253,$G253-$H253))</f>
        <v/>
      </c>
      <c r="L253" s="11" t="str">
        <f aca="false">IF($B253="","",$L252-$K253)</f>
        <v/>
      </c>
      <c r="M253" s="5"/>
    </row>
    <row r="254" customFormat="false" ht="15" hidden="false" customHeight="false" outlineLevel="0" collapsed="false">
      <c r="A254" s="20" t="n">
        <v>248</v>
      </c>
      <c r="B254" s="8"/>
      <c r="C254" s="5"/>
      <c r="D254" s="5"/>
      <c r="E254" s="5"/>
      <c r="F254" s="21" t="str">
        <f aca="false">IF($B254="","",$B254-$B253)</f>
        <v/>
      </c>
      <c r="G254" s="11" t="str">
        <f aca="false">IF($B254="","",IF($C254&lt;&gt;"",$C254,N($D254)+N($E254)))</f>
        <v/>
      </c>
      <c r="H254" s="11" t="str">
        <f aca="false">IF($B254="","",IF($E254&lt;&gt;"",$E254,$L253*Calculator!$B$5*$F254/Calculator!$B$7))</f>
        <v/>
      </c>
      <c r="I254" s="11" t="str">
        <f aca="false">IF($B254="","",$L253*Calculator!$B$6*$F254/Calculator!$B$7)</f>
        <v/>
      </c>
      <c r="J254" s="11" t="str">
        <f aca="false">IF($B254="","",MAX(0,$H254-$I254))</f>
        <v/>
      </c>
      <c r="K254" s="11" t="str">
        <f aca="false">IF($B254="","",IF($D254&lt;&gt;"",$D254,$G254-$H254))</f>
        <v/>
      </c>
      <c r="L254" s="11" t="str">
        <f aca="false">IF($B254="","",$L253-$K254)</f>
        <v/>
      </c>
      <c r="M254" s="5"/>
    </row>
    <row r="255" customFormat="false" ht="15" hidden="false" customHeight="false" outlineLevel="0" collapsed="false">
      <c r="A255" s="20" t="n">
        <v>249</v>
      </c>
      <c r="B255" s="8"/>
      <c r="C255" s="5"/>
      <c r="D255" s="5"/>
      <c r="E255" s="5"/>
      <c r="F255" s="21" t="str">
        <f aca="false">IF($B255="","",$B255-$B254)</f>
        <v/>
      </c>
      <c r="G255" s="11" t="str">
        <f aca="false">IF($B255="","",IF($C255&lt;&gt;"",$C255,N($D255)+N($E255)))</f>
        <v/>
      </c>
      <c r="H255" s="11" t="str">
        <f aca="false">IF($B255="","",IF($E255&lt;&gt;"",$E255,$L254*Calculator!$B$5*$F255/Calculator!$B$7))</f>
        <v/>
      </c>
      <c r="I255" s="11" t="str">
        <f aca="false">IF($B255="","",$L254*Calculator!$B$6*$F255/Calculator!$B$7)</f>
        <v/>
      </c>
      <c r="J255" s="11" t="str">
        <f aca="false">IF($B255="","",MAX(0,$H255-$I255))</f>
        <v/>
      </c>
      <c r="K255" s="11" t="str">
        <f aca="false">IF($B255="","",IF($D255&lt;&gt;"",$D255,$G255-$H255))</f>
        <v/>
      </c>
      <c r="L255" s="11" t="str">
        <f aca="false">IF($B255="","",$L254-$K255)</f>
        <v/>
      </c>
      <c r="M255" s="5"/>
    </row>
    <row r="256" customFormat="false" ht="15" hidden="false" customHeight="false" outlineLevel="0" collapsed="false">
      <c r="A256" s="20" t="n">
        <v>250</v>
      </c>
      <c r="B256" s="8"/>
      <c r="C256" s="5"/>
      <c r="D256" s="5"/>
      <c r="E256" s="5"/>
      <c r="F256" s="21" t="str">
        <f aca="false">IF($B256="","",$B256-$B255)</f>
        <v/>
      </c>
      <c r="G256" s="11" t="str">
        <f aca="false">IF($B256="","",IF($C256&lt;&gt;"",$C256,N($D256)+N($E256)))</f>
        <v/>
      </c>
      <c r="H256" s="11" t="str">
        <f aca="false">IF($B256="","",IF($E256&lt;&gt;"",$E256,$L255*Calculator!$B$5*$F256/Calculator!$B$7))</f>
        <v/>
      </c>
      <c r="I256" s="11" t="str">
        <f aca="false">IF($B256="","",$L255*Calculator!$B$6*$F256/Calculator!$B$7)</f>
        <v/>
      </c>
      <c r="J256" s="11" t="str">
        <f aca="false">IF($B256="","",MAX(0,$H256-$I256))</f>
        <v/>
      </c>
      <c r="K256" s="11" t="str">
        <f aca="false">IF($B256="","",IF($D256&lt;&gt;"",$D256,$G256-$H256))</f>
        <v/>
      </c>
      <c r="L256" s="11" t="str">
        <f aca="false">IF($B256="","",$L255-$K256)</f>
        <v/>
      </c>
      <c r="M256" s="5"/>
    </row>
    <row r="257" customFormat="false" ht="15" hidden="false" customHeight="false" outlineLevel="0" collapsed="false">
      <c r="A257" s="20" t="n">
        <v>251</v>
      </c>
      <c r="B257" s="8"/>
      <c r="C257" s="5"/>
      <c r="D257" s="5"/>
      <c r="E257" s="5"/>
      <c r="F257" s="21" t="str">
        <f aca="false">IF($B257="","",$B257-$B256)</f>
        <v/>
      </c>
      <c r="G257" s="11" t="str">
        <f aca="false">IF($B257="","",IF($C257&lt;&gt;"",$C257,N($D257)+N($E257)))</f>
        <v/>
      </c>
      <c r="H257" s="11" t="str">
        <f aca="false">IF($B257="","",IF($E257&lt;&gt;"",$E257,$L256*Calculator!$B$5*$F257/Calculator!$B$7))</f>
        <v/>
      </c>
      <c r="I257" s="11" t="str">
        <f aca="false">IF($B257="","",$L256*Calculator!$B$6*$F257/Calculator!$B$7)</f>
        <v/>
      </c>
      <c r="J257" s="11" t="str">
        <f aca="false">IF($B257="","",MAX(0,$H257-$I257))</f>
        <v/>
      </c>
      <c r="K257" s="11" t="str">
        <f aca="false">IF($B257="","",IF($D257&lt;&gt;"",$D257,$G257-$H257))</f>
        <v/>
      </c>
      <c r="L257" s="11" t="str">
        <f aca="false">IF($B257="","",$L256-$K257)</f>
        <v/>
      </c>
      <c r="M257" s="5"/>
    </row>
    <row r="258" customFormat="false" ht="15" hidden="false" customHeight="false" outlineLevel="0" collapsed="false">
      <c r="A258" s="20" t="n">
        <v>252</v>
      </c>
      <c r="B258" s="8"/>
      <c r="C258" s="5"/>
      <c r="D258" s="5"/>
      <c r="E258" s="5"/>
      <c r="F258" s="21" t="str">
        <f aca="false">IF($B258="","",$B258-$B257)</f>
        <v/>
      </c>
      <c r="G258" s="11" t="str">
        <f aca="false">IF($B258="","",IF($C258&lt;&gt;"",$C258,N($D258)+N($E258)))</f>
        <v/>
      </c>
      <c r="H258" s="11" t="str">
        <f aca="false">IF($B258="","",IF($E258&lt;&gt;"",$E258,$L257*Calculator!$B$5*$F258/Calculator!$B$7))</f>
        <v/>
      </c>
      <c r="I258" s="11" t="str">
        <f aca="false">IF($B258="","",$L257*Calculator!$B$6*$F258/Calculator!$B$7)</f>
        <v/>
      </c>
      <c r="J258" s="11" t="str">
        <f aca="false">IF($B258="","",MAX(0,$H258-$I258))</f>
        <v/>
      </c>
      <c r="K258" s="11" t="str">
        <f aca="false">IF($B258="","",IF($D258&lt;&gt;"",$D258,$G258-$H258))</f>
        <v/>
      </c>
      <c r="L258" s="11" t="str">
        <f aca="false">IF($B258="","",$L257-$K258)</f>
        <v/>
      </c>
      <c r="M258" s="5"/>
    </row>
    <row r="259" customFormat="false" ht="15" hidden="false" customHeight="false" outlineLevel="0" collapsed="false">
      <c r="A259" s="20" t="n">
        <v>253</v>
      </c>
      <c r="B259" s="8"/>
      <c r="C259" s="5"/>
      <c r="D259" s="5"/>
      <c r="E259" s="5"/>
      <c r="F259" s="21" t="str">
        <f aca="false">IF($B259="","",$B259-$B258)</f>
        <v/>
      </c>
      <c r="G259" s="11" t="str">
        <f aca="false">IF($B259="","",IF($C259&lt;&gt;"",$C259,N($D259)+N($E259)))</f>
        <v/>
      </c>
      <c r="H259" s="11" t="str">
        <f aca="false">IF($B259="","",IF($E259&lt;&gt;"",$E259,$L258*Calculator!$B$5*$F259/Calculator!$B$7))</f>
        <v/>
      </c>
      <c r="I259" s="11" t="str">
        <f aca="false">IF($B259="","",$L258*Calculator!$B$6*$F259/Calculator!$B$7)</f>
        <v/>
      </c>
      <c r="J259" s="11" t="str">
        <f aca="false">IF($B259="","",MAX(0,$H259-$I259))</f>
        <v/>
      </c>
      <c r="K259" s="11" t="str">
        <f aca="false">IF($B259="","",IF($D259&lt;&gt;"",$D259,$G259-$H259))</f>
        <v/>
      </c>
      <c r="L259" s="11" t="str">
        <f aca="false">IF($B259="","",$L258-$K259)</f>
        <v/>
      </c>
      <c r="M259" s="5"/>
    </row>
    <row r="260" customFormat="false" ht="15" hidden="false" customHeight="false" outlineLevel="0" collapsed="false">
      <c r="A260" s="20" t="n">
        <v>254</v>
      </c>
      <c r="B260" s="8"/>
      <c r="C260" s="5"/>
      <c r="D260" s="5"/>
      <c r="E260" s="5"/>
      <c r="F260" s="21" t="str">
        <f aca="false">IF($B260="","",$B260-$B259)</f>
        <v/>
      </c>
      <c r="G260" s="11" t="str">
        <f aca="false">IF($B260="","",IF($C260&lt;&gt;"",$C260,N($D260)+N($E260)))</f>
        <v/>
      </c>
      <c r="H260" s="11" t="str">
        <f aca="false">IF($B260="","",IF($E260&lt;&gt;"",$E260,$L259*Calculator!$B$5*$F260/Calculator!$B$7))</f>
        <v/>
      </c>
      <c r="I260" s="11" t="str">
        <f aca="false">IF($B260="","",$L259*Calculator!$B$6*$F260/Calculator!$B$7)</f>
        <v/>
      </c>
      <c r="J260" s="11" t="str">
        <f aca="false">IF($B260="","",MAX(0,$H260-$I260))</f>
        <v/>
      </c>
      <c r="K260" s="11" t="str">
        <f aca="false">IF($B260="","",IF($D260&lt;&gt;"",$D260,$G260-$H260))</f>
        <v/>
      </c>
      <c r="L260" s="11" t="str">
        <f aca="false">IF($B260="","",$L259-$K260)</f>
        <v/>
      </c>
      <c r="M260" s="5"/>
    </row>
    <row r="261" customFormat="false" ht="15" hidden="false" customHeight="false" outlineLevel="0" collapsed="false">
      <c r="A261" s="20" t="n">
        <v>255</v>
      </c>
      <c r="B261" s="8"/>
      <c r="C261" s="5"/>
      <c r="D261" s="5"/>
      <c r="E261" s="5"/>
      <c r="F261" s="21" t="str">
        <f aca="false">IF($B261="","",$B261-$B260)</f>
        <v/>
      </c>
      <c r="G261" s="11" t="str">
        <f aca="false">IF($B261="","",IF($C261&lt;&gt;"",$C261,N($D261)+N($E261)))</f>
        <v/>
      </c>
      <c r="H261" s="11" t="str">
        <f aca="false">IF($B261="","",IF($E261&lt;&gt;"",$E261,$L260*Calculator!$B$5*$F261/Calculator!$B$7))</f>
        <v/>
      </c>
      <c r="I261" s="11" t="str">
        <f aca="false">IF($B261="","",$L260*Calculator!$B$6*$F261/Calculator!$B$7)</f>
        <v/>
      </c>
      <c r="J261" s="11" t="str">
        <f aca="false">IF($B261="","",MAX(0,$H261-$I261))</f>
        <v/>
      </c>
      <c r="K261" s="11" t="str">
        <f aca="false">IF($B261="","",IF($D261&lt;&gt;"",$D261,$G261-$H261))</f>
        <v/>
      </c>
      <c r="L261" s="11" t="str">
        <f aca="false">IF($B261="","",$L260-$K261)</f>
        <v/>
      </c>
      <c r="M261" s="5"/>
    </row>
    <row r="262" customFormat="false" ht="15" hidden="false" customHeight="false" outlineLevel="0" collapsed="false">
      <c r="A262" s="20" t="n">
        <v>256</v>
      </c>
      <c r="B262" s="8"/>
      <c r="C262" s="5"/>
      <c r="D262" s="5"/>
      <c r="E262" s="5"/>
      <c r="F262" s="21" t="str">
        <f aca="false">IF($B262="","",$B262-$B261)</f>
        <v/>
      </c>
      <c r="G262" s="11" t="str">
        <f aca="false">IF($B262="","",IF($C262&lt;&gt;"",$C262,N($D262)+N($E262)))</f>
        <v/>
      </c>
      <c r="H262" s="11" t="str">
        <f aca="false">IF($B262="","",IF($E262&lt;&gt;"",$E262,$L261*Calculator!$B$5*$F262/Calculator!$B$7))</f>
        <v/>
      </c>
      <c r="I262" s="11" t="str">
        <f aca="false">IF($B262="","",$L261*Calculator!$B$6*$F262/Calculator!$B$7)</f>
        <v/>
      </c>
      <c r="J262" s="11" t="str">
        <f aca="false">IF($B262="","",MAX(0,$H262-$I262))</f>
        <v/>
      </c>
      <c r="K262" s="11" t="str">
        <f aca="false">IF($B262="","",IF($D262&lt;&gt;"",$D262,$G262-$H262))</f>
        <v/>
      </c>
      <c r="L262" s="11" t="str">
        <f aca="false">IF($B262="","",$L261-$K262)</f>
        <v/>
      </c>
      <c r="M262" s="5"/>
    </row>
    <row r="263" customFormat="false" ht="15" hidden="false" customHeight="false" outlineLevel="0" collapsed="false">
      <c r="A263" s="20" t="n">
        <v>257</v>
      </c>
      <c r="B263" s="8"/>
      <c r="C263" s="5"/>
      <c r="D263" s="5"/>
      <c r="E263" s="5"/>
      <c r="F263" s="21" t="str">
        <f aca="false">IF($B263="","",$B263-$B262)</f>
        <v/>
      </c>
      <c r="G263" s="11" t="str">
        <f aca="false">IF($B263="","",IF($C263&lt;&gt;"",$C263,N($D263)+N($E263)))</f>
        <v/>
      </c>
      <c r="H263" s="11" t="str">
        <f aca="false">IF($B263="","",IF($E263&lt;&gt;"",$E263,$L262*Calculator!$B$5*$F263/Calculator!$B$7))</f>
        <v/>
      </c>
      <c r="I263" s="11" t="str">
        <f aca="false">IF($B263="","",$L262*Calculator!$B$6*$F263/Calculator!$B$7)</f>
        <v/>
      </c>
      <c r="J263" s="11" t="str">
        <f aca="false">IF($B263="","",MAX(0,$H263-$I263))</f>
        <v/>
      </c>
      <c r="K263" s="11" t="str">
        <f aca="false">IF($B263="","",IF($D263&lt;&gt;"",$D263,$G263-$H263))</f>
        <v/>
      </c>
      <c r="L263" s="11" t="str">
        <f aca="false">IF($B263="","",$L262-$K263)</f>
        <v/>
      </c>
      <c r="M263" s="5"/>
    </row>
    <row r="264" customFormat="false" ht="15" hidden="false" customHeight="false" outlineLevel="0" collapsed="false">
      <c r="A264" s="20" t="n">
        <v>258</v>
      </c>
      <c r="B264" s="8"/>
      <c r="C264" s="5"/>
      <c r="D264" s="5"/>
      <c r="E264" s="5"/>
      <c r="F264" s="21" t="str">
        <f aca="false">IF($B264="","",$B264-$B263)</f>
        <v/>
      </c>
      <c r="G264" s="11" t="str">
        <f aca="false">IF($B264="","",IF($C264&lt;&gt;"",$C264,N($D264)+N($E264)))</f>
        <v/>
      </c>
      <c r="H264" s="11" t="str">
        <f aca="false">IF($B264="","",IF($E264&lt;&gt;"",$E264,$L263*Calculator!$B$5*$F264/Calculator!$B$7))</f>
        <v/>
      </c>
      <c r="I264" s="11" t="str">
        <f aca="false">IF($B264="","",$L263*Calculator!$B$6*$F264/Calculator!$B$7)</f>
        <v/>
      </c>
      <c r="J264" s="11" t="str">
        <f aca="false">IF($B264="","",MAX(0,$H264-$I264))</f>
        <v/>
      </c>
      <c r="K264" s="11" t="str">
        <f aca="false">IF($B264="","",IF($D264&lt;&gt;"",$D264,$G264-$H264))</f>
        <v/>
      </c>
      <c r="L264" s="11" t="str">
        <f aca="false">IF($B264="","",$L263-$K264)</f>
        <v/>
      </c>
      <c r="M264" s="5"/>
    </row>
    <row r="265" customFormat="false" ht="15" hidden="false" customHeight="false" outlineLevel="0" collapsed="false">
      <c r="A265" s="20" t="n">
        <v>259</v>
      </c>
      <c r="B265" s="8"/>
      <c r="C265" s="5"/>
      <c r="D265" s="5"/>
      <c r="E265" s="5"/>
      <c r="F265" s="21" t="str">
        <f aca="false">IF($B265="","",$B265-$B264)</f>
        <v/>
      </c>
      <c r="G265" s="11" t="str">
        <f aca="false">IF($B265="","",IF($C265&lt;&gt;"",$C265,N($D265)+N($E265)))</f>
        <v/>
      </c>
      <c r="H265" s="11" t="str">
        <f aca="false">IF($B265="","",IF($E265&lt;&gt;"",$E265,$L264*Calculator!$B$5*$F265/Calculator!$B$7))</f>
        <v/>
      </c>
      <c r="I265" s="11" t="str">
        <f aca="false">IF($B265="","",$L264*Calculator!$B$6*$F265/Calculator!$B$7)</f>
        <v/>
      </c>
      <c r="J265" s="11" t="str">
        <f aca="false">IF($B265="","",MAX(0,$H265-$I265))</f>
        <v/>
      </c>
      <c r="K265" s="11" t="str">
        <f aca="false">IF($B265="","",IF($D265&lt;&gt;"",$D265,$G265-$H265))</f>
        <v/>
      </c>
      <c r="L265" s="11" t="str">
        <f aca="false">IF($B265="","",$L264-$K265)</f>
        <v/>
      </c>
      <c r="M265" s="5"/>
    </row>
    <row r="266" customFormat="false" ht="15" hidden="false" customHeight="false" outlineLevel="0" collapsed="false">
      <c r="A266" s="20" t="n">
        <v>260</v>
      </c>
      <c r="B266" s="8"/>
      <c r="C266" s="5"/>
      <c r="D266" s="5"/>
      <c r="E266" s="5"/>
      <c r="F266" s="21" t="str">
        <f aca="false">IF($B266="","",$B266-$B265)</f>
        <v/>
      </c>
      <c r="G266" s="11" t="str">
        <f aca="false">IF($B266="","",IF($C266&lt;&gt;"",$C266,N($D266)+N($E266)))</f>
        <v/>
      </c>
      <c r="H266" s="11" t="str">
        <f aca="false">IF($B266="","",IF($E266&lt;&gt;"",$E266,$L265*Calculator!$B$5*$F266/Calculator!$B$7))</f>
        <v/>
      </c>
      <c r="I266" s="11" t="str">
        <f aca="false">IF($B266="","",$L265*Calculator!$B$6*$F266/Calculator!$B$7)</f>
        <v/>
      </c>
      <c r="J266" s="11" t="str">
        <f aca="false">IF($B266="","",MAX(0,$H266-$I266))</f>
        <v/>
      </c>
      <c r="K266" s="11" t="str">
        <f aca="false">IF($B266="","",IF($D266&lt;&gt;"",$D266,$G266-$H266))</f>
        <v/>
      </c>
      <c r="L266" s="11" t="str">
        <f aca="false">IF($B266="","",$L265-$K266)</f>
        <v/>
      </c>
      <c r="M266" s="5"/>
    </row>
    <row r="267" customFormat="false" ht="15" hidden="false" customHeight="false" outlineLevel="0" collapsed="false">
      <c r="A267" s="20" t="n">
        <v>261</v>
      </c>
      <c r="B267" s="8"/>
      <c r="C267" s="5"/>
      <c r="D267" s="5"/>
      <c r="E267" s="5"/>
      <c r="F267" s="21" t="str">
        <f aca="false">IF($B267="","",$B267-$B266)</f>
        <v/>
      </c>
      <c r="G267" s="11" t="str">
        <f aca="false">IF($B267="","",IF($C267&lt;&gt;"",$C267,N($D267)+N($E267)))</f>
        <v/>
      </c>
      <c r="H267" s="11" t="str">
        <f aca="false">IF($B267="","",IF($E267&lt;&gt;"",$E267,$L266*Calculator!$B$5*$F267/Calculator!$B$7))</f>
        <v/>
      </c>
      <c r="I267" s="11" t="str">
        <f aca="false">IF($B267="","",$L266*Calculator!$B$6*$F267/Calculator!$B$7)</f>
        <v/>
      </c>
      <c r="J267" s="11" t="str">
        <f aca="false">IF($B267="","",MAX(0,$H267-$I267))</f>
        <v/>
      </c>
      <c r="K267" s="11" t="str">
        <f aca="false">IF($B267="","",IF($D267&lt;&gt;"",$D267,$G267-$H267))</f>
        <v/>
      </c>
      <c r="L267" s="11" t="str">
        <f aca="false">IF($B267="","",$L266-$K267)</f>
        <v/>
      </c>
      <c r="M267" s="5"/>
    </row>
    <row r="268" customFormat="false" ht="15" hidden="false" customHeight="false" outlineLevel="0" collapsed="false">
      <c r="A268" s="20" t="n">
        <v>262</v>
      </c>
      <c r="B268" s="8"/>
      <c r="C268" s="5"/>
      <c r="D268" s="5"/>
      <c r="E268" s="5"/>
      <c r="F268" s="21" t="str">
        <f aca="false">IF($B268="","",$B268-$B267)</f>
        <v/>
      </c>
      <c r="G268" s="11" t="str">
        <f aca="false">IF($B268="","",IF($C268&lt;&gt;"",$C268,N($D268)+N($E268)))</f>
        <v/>
      </c>
      <c r="H268" s="11" t="str">
        <f aca="false">IF($B268="","",IF($E268&lt;&gt;"",$E268,$L267*Calculator!$B$5*$F268/Calculator!$B$7))</f>
        <v/>
      </c>
      <c r="I268" s="11" t="str">
        <f aca="false">IF($B268="","",$L267*Calculator!$B$6*$F268/Calculator!$B$7)</f>
        <v/>
      </c>
      <c r="J268" s="11" t="str">
        <f aca="false">IF($B268="","",MAX(0,$H268-$I268))</f>
        <v/>
      </c>
      <c r="K268" s="11" t="str">
        <f aca="false">IF($B268="","",IF($D268&lt;&gt;"",$D268,$G268-$H268))</f>
        <v/>
      </c>
      <c r="L268" s="11" t="str">
        <f aca="false">IF($B268="","",$L267-$K268)</f>
        <v/>
      </c>
      <c r="M268" s="5"/>
    </row>
    <row r="269" customFormat="false" ht="15" hidden="false" customHeight="false" outlineLevel="0" collapsed="false">
      <c r="A269" s="20" t="n">
        <v>263</v>
      </c>
      <c r="B269" s="8"/>
      <c r="C269" s="5"/>
      <c r="D269" s="5"/>
      <c r="E269" s="5"/>
      <c r="F269" s="21" t="str">
        <f aca="false">IF($B269="","",$B269-$B268)</f>
        <v/>
      </c>
      <c r="G269" s="11" t="str">
        <f aca="false">IF($B269="","",IF($C269&lt;&gt;"",$C269,N($D269)+N($E269)))</f>
        <v/>
      </c>
      <c r="H269" s="11" t="str">
        <f aca="false">IF($B269="","",IF($E269&lt;&gt;"",$E269,$L268*Calculator!$B$5*$F269/Calculator!$B$7))</f>
        <v/>
      </c>
      <c r="I269" s="11" t="str">
        <f aca="false">IF($B269="","",$L268*Calculator!$B$6*$F269/Calculator!$B$7)</f>
        <v/>
      </c>
      <c r="J269" s="11" t="str">
        <f aca="false">IF($B269="","",MAX(0,$H269-$I269))</f>
        <v/>
      </c>
      <c r="K269" s="11" t="str">
        <f aca="false">IF($B269="","",IF($D269&lt;&gt;"",$D269,$G269-$H269))</f>
        <v/>
      </c>
      <c r="L269" s="11" t="str">
        <f aca="false">IF($B269="","",$L268-$K269)</f>
        <v/>
      </c>
      <c r="M269" s="5"/>
    </row>
    <row r="270" customFormat="false" ht="15" hidden="false" customHeight="false" outlineLevel="0" collapsed="false">
      <c r="A270" s="20" t="n">
        <v>264</v>
      </c>
      <c r="B270" s="8"/>
      <c r="C270" s="5"/>
      <c r="D270" s="5"/>
      <c r="E270" s="5"/>
      <c r="F270" s="21" t="str">
        <f aca="false">IF($B270="","",$B270-$B269)</f>
        <v/>
      </c>
      <c r="G270" s="11" t="str">
        <f aca="false">IF($B270="","",IF($C270&lt;&gt;"",$C270,N($D270)+N($E270)))</f>
        <v/>
      </c>
      <c r="H270" s="11" t="str">
        <f aca="false">IF($B270="","",IF($E270&lt;&gt;"",$E270,$L269*Calculator!$B$5*$F270/Calculator!$B$7))</f>
        <v/>
      </c>
      <c r="I270" s="11" t="str">
        <f aca="false">IF($B270="","",$L269*Calculator!$B$6*$F270/Calculator!$B$7)</f>
        <v/>
      </c>
      <c r="J270" s="11" t="str">
        <f aca="false">IF($B270="","",MAX(0,$H270-$I270))</f>
        <v/>
      </c>
      <c r="K270" s="11" t="str">
        <f aca="false">IF($B270="","",IF($D270&lt;&gt;"",$D270,$G270-$H270))</f>
        <v/>
      </c>
      <c r="L270" s="11" t="str">
        <f aca="false">IF($B270="","",$L269-$K270)</f>
        <v/>
      </c>
      <c r="M270" s="5"/>
    </row>
    <row r="271" customFormat="false" ht="15" hidden="false" customHeight="false" outlineLevel="0" collapsed="false">
      <c r="A271" s="20" t="n">
        <v>265</v>
      </c>
      <c r="B271" s="8"/>
      <c r="C271" s="5"/>
      <c r="D271" s="5"/>
      <c r="E271" s="5"/>
      <c r="F271" s="21" t="str">
        <f aca="false">IF($B271="","",$B271-$B270)</f>
        <v/>
      </c>
      <c r="G271" s="11" t="str">
        <f aca="false">IF($B271="","",IF($C271&lt;&gt;"",$C271,N($D271)+N($E271)))</f>
        <v/>
      </c>
      <c r="H271" s="11" t="str">
        <f aca="false">IF($B271="","",IF($E271&lt;&gt;"",$E271,$L270*Calculator!$B$5*$F271/Calculator!$B$7))</f>
        <v/>
      </c>
      <c r="I271" s="11" t="str">
        <f aca="false">IF($B271="","",$L270*Calculator!$B$6*$F271/Calculator!$B$7)</f>
        <v/>
      </c>
      <c r="J271" s="11" t="str">
        <f aca="false">IF($B271="","",MAX(0,$H271-$I271))</f>
        <v/>
      </c>
      <c r="K271" s="11" t="str">
        <f aca="false">IF($B271="","",IF($D271&lt;&gt;"",$D271,$G271-$H271))</f>
        <v/>
      </c>
      <c r="L271" s="11" t="str">
        <f aca="false">IF($B271="","",$L270-$K271)</f>
        <v/>
      </c>
      <c r="M271" s="5"/>
    </row>
    <row r="272" customFormat="false" ht="15" hidden="false" customHeight="false" outlineLevel="0" collapsed="false">
      <c r="A272" s="20" t="n">
        <v>266</v>
      </c>
      <c r="B272" s="8"/>
      <c r="C272" s="5"/>
      <c r="D272" s="5"/>
      <c r="E272" s="5"/>
      <c r="F272" s="21" t="str">
        <f aca="false">IF($B272="","",$B272-$B271)</f>
        <v/>
      </c>
      <c r="G272" s="11" t="str">
        <f aca="false">IF($B272="","",IF($C272&lt;&gt;"",$C272,N($D272)+N($E272)))</f>
        <v/>
      </c>
      <c r="H272" s="11" t="str">
        <f aca="false">IF($B272="","",IF($E272&lt;&gt;"",$E272,$L271*Calculator!$B$5*$F272/Calculator!$B$7))</f>
        <v/>
      </c>
      <c r="I272" s="11" t="str">
        <f aca="false">IF($B272="","",$L271*Calculator!$B$6*$F272/Calculator!$B$7)</f>
        <v/>
      </c>
      <c r="J272" s="11" t="str">
        <f aca="false">IF($B272="","",MAX(0,$H272-$I272))</f>
        <v/>
      </c>
      <c r="K272" s="11" t="str">
        <f aca="false">IF($B272="","",IF($D272&lt;&gt;"",$D272,$G272-$H272))</f>
        <v/>
      </c>
      <c r="L272" s="11" t="str">
        <f aca="false">IF($B272="","",$L271-$K272)</f>
        <v/>
      </c>
      <c r="M272" s="5"/>
    </row>
    <row r="273" customFormat="false" ht="15" hidden="false" customHeight="false" outlineLevel="0" collapsed="false">
      <c r="A273" s="20" t="n">
        <v>267</v>
      </c>
      <c r="B273" s="8"/>
      <c r="C273" s="5"/>
      <c r="D273" s="5"/>
      <c r="E273" s="5"/>
      <c r="F273" s="21" t="str">
        <f aca="false">IF($B273="","",$B273-$B272)</f>
        <v/>
      </c>
      <c r="G273" s="11" t="str">
        <f aca="false">IF($B273="","",IF($C273&lt;&gt;"",$C273,N($D273)+N($E273)))</f>
        <v/>
      </c>
      <c r="H273" s="11" t="str">
        <f aca="false">IF($B273="","",IF($E273&lt;&gt;"",$E273,$L272*Calculator!$B$5*$F273/Calculator!$B$7))</f>
        <v/>
      </c>
      <c r="I273" s="11" t="str">
        <f aca="false">IF($B273="","",$L272*Calculator!$B$6*$F273/Calculator!$B$7)</f>
        <v/>
      </c>
      <c r="J273" s="11" t="str">
        <f aca="false">IF($B273="","",MAX(0,$H273-$I273))</f>
        <v/>
      </c>
      <c r="K273" s="11" t="str">
        <f aca="false">IF($B273="","",IF($D273&lt;&gt;"",$D273,$G273-$H273))</f>
        <v/>
      </c>
      <c r="L273" s="11" t="str">
        <f aca="false">IF($B273="","",$L272-$K273)</f>
        <v/>
      </c>
      <c r="M273" s="5"/>
    </row>
    <row r="274" customFormat="false" ht="15" hidden="false" customHeight="false" outlineLevel="0" collapsed="false">
      <c r="A274" s="20" t="n">
        <v>268</v>
      </c>
      <c r="B274" s="8"/>
      <c r="C274" s="5"/>
      <c r="D274" s="5"/>
      <c r="E274" s="5"/>
      <c r="F274" s="21" t="str">
        <f aca="false">IF($B274="","",$B274-$B273)</f>
        <v/>
      </c>
      <c r="G274" s="11" t="str">
        <f aca="false">IF($B274="","",IF($C274&lt;&gt;"",$C274,N($D274)+N($E274)))</f>
        <v/>
      </c>
      <c r="H274" s="11" t="str">
        <f aca="false">IF($B274="","",IF($E274&lt;&gt;"",$E274,$L273*Calculator!$B$5*$F274/Calculator!$B$7))</f>
        <v/>
      </c>
      <c r="I274" s="11" t="str">
        <f aca="false">IF($B274="","",$L273*Calculator!$B$6*$F274/Calculator!$B$7)</f>
        <v/>
      </c>
      <c r="J274" s="11" t="str">
        <f aca="false">IF($B274="","",MAX(0,$H274-$I274))</f>
        <v/>
      </c>
      <c r="K274" s="11" t="str">
        <f aca="false">IF($B274="","",IF($D274&lt;&gt;"",$D274,$G274-$H274))</f>
        <v/>
      </c>
      <c r="L274" s="11" t="str">
        <f aca="false">IF($B274="","",$L273-$K274)</f>
        <v/>
      </c>
      <c r="M274" s="5"/>
    </row>
    <row r="275" customFormat="false" ht="15" hidden="false" customHeight="false" outlineLevel="0" collapsed="false">
      <c r="A275" s="20" t="n">
        <v>269</v>
      </c>
      <c r="B275" s="8"/>
      <c r="C275" s="5"/>
      <c r="D275" s="5"/>
      <c r="E275" s="5"/>
      <c r="F275" s="21" t="str">
        <f aca="false">IF($B275="","",$B275-$B274)</f>
        <v/>
      </c>
      <c r="G275" s="11" t="str">
        <f aca="false">IF($B275="","",IF($C275&lt;&gt;"",$C275,N($D275)+N($E275)))</f>
        <v/>
      </c>
      <c r="H275" s="11" t="str">
        <f aca="false">IF($B275="","",IF($E275&lt;&gt;"",$E275,$L274*Calculator!$B$5*$F275/Calculator!$B$7))</f>
        <v/>
      </c>
      <c r="I275" s="11" t="str">
        <f aca="false">IF($B275="","",$L274*Calculator!$B$6*$F275/Calculator!$B$7)</f>
        <v/>
      </c>
      <c r="J275" s="11" t="str">
        <f aca="false">IF($B275="","",MAX(0,$H275-$I275))</f>
        <v/>
      </c>
      <c r="K275" s="11" t="str">
        <f aca="false">IF($B275="","",IF($D275&lt;&gt;"",$D275,$G275-$H275))</f>
        <v/>
      </c>
      <c r="L275" s="11" t="str">
        <f aca="false">IF($B275="","",$L274-$K275)</f>
        <v/>
      </c>
      <c r="M275" s="5"/>
    </row>
    <row r="276" customFormat="false" ht="15" hidden="false" customHeight="false" outlineLevel="0" collapsed="false">
      <c r="A276" s="20" t="n">
        <v>270</v>
      </c>
      <c r="B276" s="8"/>
      <c r="C276" s="5"/>
      <c r="D276" s="5"/>
      <c r="E276" s="5"/>
      <c r="F276" s="21" t="str">
        <f aca="false">IF($B276="","",$B276-$B275)</f>
        <v/>
      </c>
      <c r="G276" s="11" t="str">
        <f aca="false">IF($B276="","",IF($C276&lt;&gt;"",$C276,N($D276)+N($E276)))</f>
        <v/>
      </c>
      <c r="H276" s="11" t="str">
        <f aca="false">IF($B276="","",IF($E276&lt;&gt;"",$E276,$L275*Calculator!$B$5*$F276/Calculator!$B$7))</f>
        <v/>
      </c>
      <c r="I276" s="11" t="str">
        <f aca="false">IF($B276="","",$L275*Calculator!$B$6*$F276/Calculator!$B$7)</f>
        <v/>
      </c>
      <c r="J276" s="11" t="str">
        <f aca="false">IF($B276="","",MAX(0,$H276-$I276))</f>
        <v/>
      </c>
      <c r="K276" s="11" t="str">
        <f aca="false">IF($B276="","",IF($D276&lt;&gt;"",$D276,$G276-$H276))</f>
        <v/>
      </c>
      <c r="L276" s="11" t="str">
        <f aca="false">IF($B276="","",$L275-$K276)</f>
        <v/>
      </c>
      <c r="M276" s="5"/>
    </row>
    <row r="277" customFormat="false" ht="15" hidden="false" customHeight="false" outlineLevel="0" collapsed="false">
      <c r="A277" s="20" t="n">
        <v>271</v>
      </c>
      <c r="B277" s="8"/>
      <c r="C277" s="5"/>
      <c r="D277" s="5"/>
      <c r="E277" s="5"/>
      <c r="F277" s="21" t="str">
        <f aca="false">IF($B277="","",$B277-$B276)</f>
        <v/>
      </c>
      <c r="G277" s="11" t="str">
        <f aca="false">IF($B277="","",IF($C277&lt;&gt;"",$C277,N($D277)+N($E277)))</f>
        <v/>
      </c>
      <c r="H277" s="11" t="str">
        <f aca="false">IF($B277="","",IF($E277&lt;&gt;"",$E277,$L276*Calculator!$B$5*$F277/Calculator!$B$7))</f>
        <v/>
      </c>
      <c r="I277" s="11" t="str">
        <f aca="false">IF($B277="","",$L276*Calculator!$B$6*$F277/Calculator!$B$7)</f>
        <v/>
      </c>
      <c r="J277" s="11" t="str">
        <f aca="false">IF($B277="","",MAX(0,$H277-$I277))</f>
        <v/>
      </c>
      <c r="K277" s="11" t="str">
        <f aca="false">IF($B277="","",IF($D277&lt;&gt;"",$D277,$G277-$H277))</f>
        <v/>
      </c>
      <c r="L277" s="11" t="str">
        <f aca="false">IF($B277="","",$L276-$K277)</f>
        <v/>
      </c>
      <c r="M277" s="5"/>
    </row>
    <row r="278" customFormat="false" ht="15" hidden="false" customHeight="false" outlineLevel="0" collapsed="false">
      <c r="A278" s="20" t="n">
        <v>272</v>
      </c>
      <c r="B278" s="8"/>
      <c r="C278" s="5"/>
      <c r="D278" s="5"/>
      <c r="E278" s="5"/>
      <c r="F278" s="21" t="str">
        <f aca="false">IF($B278="","",$B278-$B277)</f>
        <v/>
      </c>
      <c r="G278" s="11" t="str">
        <f aca="false">IF($B278="","",IF($C278&lt;&gt;"",$C278,N($D278)+N($E278)))</f>
        <v/>
      </c>
      <c r="H278" s="11" t="str">
        <f aca="false">IF($B278="","",IF($E278&lt;&gt;"",$E278,$L277*Calculator!$B$5*$F278/Calculator!$B$7))</f>
        <v/>
      </c>
      <c r="I278" s="11" t="str">
        <f aca="false">IF($B278="","",$L277*Calculator!$B$6*$F278/Calculator!$B$7)</f>
        <v/>
      </c>
      <c r="J278" s="11" t="str">
        <f aca="false">IF($B278="","",MAX(0,$H278-$I278))</f>
        <v/>
      </c>
      <c r="K278" s="11" t="str">
        <f aca="false">IF($B278="","",IF($D278&lt;&gt;"",$D278,$G278-$H278))</f>
        <v/>
      </c>
      <c r="L278" s="11" t="str">
        <f aca="false">IF($B278="","",$L277-$K278)</f>
        <v/>
      </c>
      <c r="M278" s="5"/>
    </row>
    <row r="279" customFormat="false" ht="15" hidden="false" customHeight="false" outlineLevel="0" collapsed="false">
      <c r="A279" s="20" t="n">
        <v>273</v>
      </c>
      <c r="B279" s="8"/>
      <c r="C279" s="5"/>
      <c r="D279" s="5"/>
      <c r="E279" s="5"/>
      <c r="F279" s="21" t="str">
        <f aca="false">IF($B279="","",$B279-$B278)</f>
        <v/>
      </c>
      <c r="G279" s="11" t="str">
        <f aca="false">IF($B279="","",IF($C279&lt;&gt;"",$C279,N($D279)+N($E279)))</f>
        <v/>
      </c>
      <c r="H279" s="11" t="str">
        <f aca="false">IF($B279="","",IF($E279&lt;&gt;"",$E279,$L278*Calculator!$B$5*$F279/Calculator!$B$7))</f>
        <v/>
      </c>
      <c r="I279" s="11" t="str">
        <f aca="false">IF($B279="","",$L278*Calculator!$B$6*$F279/Calculator!$B$7)</f>
        <v/>
      </c>
      <c r="J279" s="11" t="str">
        <f aca="false">IF($B279="","",MAX(0,$H279-$I279))</f>
        <v/>
      </c>
      <c r="K279" s="11" t="str">
        <f aca="false">IF($B279="","",IF($D279&lt;&gt;"",$D279,$G279-$H279))</f>
        <v/>
      </c>
      <c r="L279" s="11" t="str">
        <f aca="false">IF($B279="","",$L278-$K279)</f>
        <v/>
      </c>
      <c r="M279" s="5"/>
    </row>
    <row r="280" customFormat="false" ht="15" hidden="false" customHeight="false" outlineLevel="0" collapsed="false">
      <c r="A280" s="20" t="n">
        <v>274</v>
      </c>
      <c r="B280" s="8"/>
      <c r="C280" s="5"/>
      <c r="D280" s="5"/>
      <c r="E280" s="5"/>
      <c r="F280" s="21" t="str">
        <f aca="false">IF($B280="","",$B280-$B279)</f>
        <v/>
      </c>
      <c r="G280" s="11" t="str">
        <f aca="false">IF($B280="","",IF($C280&lt;&gt;"",$C280,N($D280)+N($E280)))</f>
        <v/>
      </c>
      <c r="H280" s="11" t="str">
        <f aca="false">IF($B280="","",IF($E280&lt;&gt;"",$E280,$L279*Calculator!$B$5*$F280/Calculator!$B$7))</f>
        <v/>
      </c>
      <c r="I280" s="11" t="str">
        <f aca="false">IF($B280="","",$L279*Calculator!$B$6*$F280/Calculator!$B$7)</f>
        <v/>
      </c>
      <c r="J280" s="11" t="str">
        <f aca="false">IF($B280="","",MAX(0,$H280-$I280))</f>
        <v/>
      </c>
      <c r="K280" s="11" t="str">
        <f aca="false">IF($B280="","",IF($D280&lt;&gt;"",$D280,$G280-$H280))</f>
        <v/>
      </c>
      <c r="L280" s="11" t="str">
        <f aca="false">IF($B280="","",$L279-$K280)</f>
        <v/>
      </c>
      <c r="M280" s="5"/>
    </row>
    <row r="281" customFormat="false" ht="15" hidden="false" customHeight="false" outlineLevel="0" collapsed="false">
      <c r="A281" s="20" t="n">
        <v>275</v>
      </c>
      <c r="B281" s="8"/>
      <c r="C281" s="5"/>
      <c r="D281" s="5"/>
      <c r="E281" s="5"/>
      <c r="F281" s="21" t="str">
        <f aca="false">IF($B281="","",$B281-$B280)</f>
        <v/>
      </c>
      <c r="G281" s="11" t="str">
        <f aca="false">IF($B281="","",IF($C281&lt;&gt;"",$C281,N($D281)+N($E281)))</f>
        <v/>
      </c>
      <c r="H281" s="11" t="str">
        <f aca="false">IF($B281="","",IF($E281&lt;&gt;"",$E281,$L280*Calculator!$B$5*$F281/Calculator!$B$7))</f>
        <v/>
      </c>
      <c r="I281" s="11" t="str">
        <f aca="false">IF($B281="","",$L280*Calculator!$B$6*$F281/Calculator!$B$7)</f>
        <v/>
      </c>
      <c r="J281" s="11" t="str">
        <f aca="false">IF($B281="","",MAX(0,$H281-$I281))</f>
        <v/>
      </c>
      <c r="K281" s="11" t="str">
        <f aca="false">IF($B281="","",IF($D281&lt;&gt;"",$D281,$G281-$H281))</f>
        <v/>
      </c>
      <c r="L281" s="11" t="str">
        <f aca="false">IF($B281="","",$L280-$K281)</f>
        <v/>
      </c>
      <c r="M281" s="5"/>
    </row>
    <row r="282" customFormat="false" ht="15" hidden="false" customHeight="false" outlineLevel="0" collapsed="false">
      <c r="A282" s="20" t="n">
        <v>276</v>
      </c>
      <c r="B282" s="8"/>
      <c r="C282" s="5"/>
      <c r="D282" s="5"/>
      <c r="E282" s="5"/>
      <c r="F282" s="21" t="str">
        <f aca="false">IF($B282="","",$B282-$B281)</f>
        <v/>
      </c>
      <c r="G282" s="11" t="str">
        <f aca="false">IF($B282="","",IF($C282&lt;&gt;"",$C282,N($D282)+N($E282)))</f>
        <v/>
      </c>
      <c r="H282" s="11" t="str">
        <f aca="false">IF($B282="","",IF($E282&lt;&gt;"",$E282,$L281*Calculator!$B$5*$F282/Calculator!$B$7))</f>
        <v/>
      </c>
      <c r="I282" s="11" t="str">
        <f aca="false">IF($B282="","",$L281*Calculator!$B$6*$F282/Calculator!$B$7)</f>
        <v/>
      </c>
      <c r="J282" s="11" t="str">
        <f aca="false">IF($B282="","",MAX(0,$H282-$I282))</f>
        <v/>
      </c>
      <c r="K282" s="11" t="str">
        <f aca="false">IF($B282="","",IF($D282&lt;&gt;"",$D282,$G282-$H282))</f>
        <v/>
      </c>
      <c r="L282" s="11" t="str">
        <f aca="false">IF($B282="","",$L281-$K282)</f>
        <v/>
      </c>
      <c r="M282" s="5"/>
    </row>
    <row r="283" customFormat="false" ht="15" hidden="false" customHeight="false" outlineLevel="0" collapsed="false">
      <c r="A283" s="20" t="n">
        <v>277</v>
      </c>
      <c r="B283" s="8"/>
      <c r="C283" s="5"/>
      <c r="D283" s="5"/>
      <c r="E283" s="5"/>
      <c r="F283" s="21" t="str">
        <f aca="false">IF($B283="","",$B283-$B282)</f>
        <v/>
      </c>
      <c r="G283" s="11" t="str">
        <f aca="false">IF($B283="","",IF($C283&lt;&gt;"",$C283,N($D283)+N($E283)))</f>
        <v/>
      </c>
      <c r="H283" s="11" t="str">
        <f aca="false">IF($B283="","",IF($E283&lt;&gt;"",$E283,$L282*Calculator!$B$5*$F283/Calculator!$B$7))</f>
        <v/>
      </c>
      <c r="I283" s="11" t="str">
        <f aca="false">IF($B283="","",$L282*Calculator!$B$6*$F283/Calculator!$B$7)</f>
        <v/>
      </c>
      <c r="J283" s="11" t="str">
        <f aca="false">IF($B283="","",MAX(0,$H283-$I283))</f>
        <v/>
      </c>
      <c r="K283" s="11" t="str">
        <f aca="false">IF($B283="","",IF($D283&lt;&gt;"",$D283,$G283-$H283))</f>
        <v/>
      </c>
      <c r="L283" s="11" t="str">
        <f aca="false">IF($B283="","",$L282-$K283)</f>
        <v/>
      </c>
      <c r="M283" s="5"/>
    </row>
    <row r="284" customFormat="false" ht="15" hidden="false" customHeight="false" outlineLevel="0" collapsed="false">
      <c r="A284" s="20" t="n">
        <v>278</v>
      </c>
      <c r="B284" s="8"/>
      <c r="C284" s="5"/>
      <c r="D284" s="5"/>
      <c r="E284" s="5"/>
      <c r="F284" s="21" t="str">
        <f aca="false">IF($B284="","",$B284-$B283)</f>
        <v/>
      </c>
      <c r="G284" s="11" t="str">
        <f aca="false">IF($B284="","",IF($C284&lt;&gt;"",$C284,N($D284)+N($E284)))</f>
        <v/>
      </c>
      <c r="H284" s="11" t="str">
        <f aca="false">IF($B284="","",IF($E284&lt;&gt;"",$E284,$L283*Calculator!$B$5*$F284/Calculator!$B$7))</f>
        <v/>
      </c>
      <c r="I284" s="11" t="str">
        <f aca="false">IF($B284="","",$L283*Calculator!$B$6*$F284/Calculator!$B$7)</f>
        <v/>
      </c>
      <c r="J284" s="11" t="str">
        <f aca="false">IF($B284="","",MAX(0,$H284-$I284))</f>
        <v/>
      </c>
      <c r="K284" s="11" t="str">
        <f aca="false">IF($B284="","",IF($D284&lt;&gt;"",$D284,$G284-$H284))</f>
        <v/>
      </c>
      <c r="L284" s="11" t="str">
        <f aca="false">IF($B284="","",$L283-$K284)</f>
        <v/>
      </c>
      <c r="M284" s="5"/>
    </row>
    <row r="285" customFormat="false" ht="15" hidden="false" customHeight="false" outlineLevel="0" collapsed="false">
      <c r="A285" s="20" t="n">
        <v>279</v>
      </c>
      <c r="B285" s="8"/>
      <c r="C285" s="5"/>
      <c r="D285" s="5"/>
      <c r="E285" s="5"/>
      <c r="F285" s="21" t="str">
        <f aca="false">IF($B285="","",$B285-$B284)</f>
        <v/>
      </c>
      <c r="G285" s="11" t="str">
        <f aca="false">IF($B285="","",IF($C285&lt;&gt;"",$C285,N($D285)+N($E285)))</f>
        <v/>
      </c>
      <c r="H285" s="11" t="str">
        <f aca="false">IF($B285="","",IF($E285&lt;&gt;"",$E285,$L284*Calculator!$B$5*$F285/Calculator!$B$7))</f>
        <v/>
      </c>
      <c r="I285" s="11" t="str">
        <f aca="false">IF($B285="","",$L284*Calculator!$B$6*$F285/Calculator!$B$7)</f>
        <v/>
      </c>
      <c r="J285" s="11" t="str">
        <f aca="false">IF($B285="","",MAX(0,$H285-$I285))</f>
        <v/>
      </c>
      <c r="K285" s="11" t="str">
        <f aca="false">IF($B285="","",IF($D285&lt;&gt;"",$D285,$G285-$H285))</f>
        <v/>
      </c>
      <c r="L285" s="11" t="str">
        <f aca="false">IF($B285="","",$L284-$K285)</f>
        <v/>
      </c>
      <c r="M285" s="5"/>
    </row>
    <row r="286" customFormat="false" ht="15" hidden="false" customHeight="false" outlineLevel="0" collapsed="false">
      <c r="A286" s="20" t="n">
        <v>280</v>
      </c>
      <c r="B286" s="8"/>
      <c r="C286" s="5"/>
      <c r="D286" s="5"/>
      <c r="E286" s="5"/>
      <c r="F286" s="21" t="str">
        <f aca="false">IF($B286="","",$B286-$B285)</f>
        <v/>
      </c>
      <c r="G286" s="11" t="str">
        <f aca="false">IF($B286="","",IF($C286&lt;&gt;"",$C286,N($D286)+N($E286)))</f>
        <v/>
      </c>
      <c r="H286" s="11" t="str">
        <f aca="false">IF($B286="","",IF($E286&lt;&gt;"",$E286,$L285*Calculator!$B$5*$F286/Calculator!$B$7))</f>
        <v/>
      </c>
      <c r="I286" s="11" t="str">
        <f aca="false">IF($B286="","",$L285*Calculator!$B$6*$F286/Calculator!$B$7)</f>
        <v/>
      </c>
      <c r="J286" s="11" t="str">
        <f aca="false">IF($B286="","",MAX(0,$H286-$I286))</f>
        <v/>
      </c>
      <c r="K286" s="11" t="str">
        <f aca="false">IF($B286="","",IF($D286&lt;&gt;"",$D286,$G286-$H286))</f>
        <v/>
      </c>
      <c r="L286" s="11" t="str">
        <f aca="false">IF($B286="","",$L285-$K286)</f>
        <v/>
      </c>
      <c r="M286" s="5"/>
    </row>
    <row r="287" customFormat="false" ht="15" hidden="false" customHeight="false" outlineLevel="0" collapsed="false">
      <c r="A287" s="20" t="n">
        <v>281</v>
      </c>
      <c r="B287" s="8"/>
      <c r="C287" s="5"/>
      <c r="D287" s="5"/>
      <c r="E287" s="5"/>
      <c r="F287" s="21" t="str">
        <f aca="false">IF($B287="","",$B287-$B286)</f>
        <v/>
      </c>
      <c r="G287" s="11" t="str">
        <f aca="false">IF($B287="","",IF($C287&lt;&gt;"",$C287,N($D287)+N($E287)))</f>
        <v/>
      </c>
      <c r="H287" s="11" t="str">
        <f aca="false">IF($B287="","",IF($E287&lt;&gt;"",$E287,$L286*Calculator!$B$5*$F287/Calculator!$B$7))</f>
        <v/>
      </c>
      <c r="I287" s="11" t="str">
        <f aca="false">IF($B287="","",$L286*Calculator!$B$6*$F287/Calculator!$B$7)</f>
        <v/>
      </c>
      <c r="J287" s="11" t="str">
        <f aca="false">IF($B287="","",MAX(0,$H287-$I287))</f>
        <v/>
      </c>
      <c r="K287" s="11" t="str">
        <f aca="false">IF($B287="","",IF($D287&lt;&gt;"",$D287,$G287-$H287))</f>
        <v/>
      </c>
      <c r="L287" s="11" t="str">
        <f aca="false">IF($B287="","",$L286-$K287)</f>
        <v/>
      </c>
      <c r="M287" s="5"/>
    </row>
    <row r="288" customFormat="false" ht="15" hidden="false" customHeight="false" outlineLevel="0" collapsed="false">
      <c r="A288" s="20" t="n">
        <v>282</v>
      </c>
      <c r="B288" s="8"/>
      <c r="C288" s="5"/>
      <c r="D288" s="5"/>
      <c r="E288" s="5"/>
      <c r="F288" s="21" t="str">
        <f aca="false">IF($B288="","",$B288-$B287)</f>
        <v/>
      </c>
      <c r="G288" s="11" t="str">
        <f aca="false">IF($B288="","",IF($C288&lt;&gt;"",$C288,N($D288)+N($E288)))</f>
        <v/>
      </c>
      <c r="H288" s="11" t="str">
        <f aca="false">IF($B288="","",IF($E288&lt;&gt;"",$E288,$L287*Calculator!$B$5*$F288/Calculator!$B$7))</f>
        <v/>
      </c>
      <c r="I288" s="11" t="str">
        <f aca="false">IF($B288="","",$L287*Calculator!$B$6*$F288/Calculator!$B$7)</f>
        <v/>
      </c>
      <c r="J288" s="11" t="str">
        <f aca="false">IF($B288="","",MAX(0,$H288-$I288))</f>
        <v/>
      </c>
      <c r="K288" s="11" t="str">
        <f aca="false">IF($B288="","",IF($D288&lt;&gt;"",$D288,$G288-$H288))</f>
        <v/>
      </c>
      <c r="L288" s="11" t="str">
        <f aca="false">IF($B288="","",$L287-$K288)</f>
        <v/>
      </c>
      <c r="M288" s="5"/>
    </row>
    <row r="289" customFormat="false" ht="15" hidden="false" customHeight="false" outlineLevel="0" collapsed="false">
      <c r="A289" s="20" t="n">
        <v>283</v>
      </c>
      <c r="B289" s="8"/>
      <c r="C289" s="5"/>
      <c r="D289" s="5"/>
      <c r="E289" s="5"/>
      <c r="F289" s="21" t="str">
        <f aca="false">IF($B289="","",$B289-$B288)</f>
        <v/>
      </c>
      <c r="G289" s="11" t="str">
        <f aca="false">IF($B289="","",IF($C289&lt;&gt;"",$C289,N($D289)+N($E289)))</f>
        <v/>
      </c>
      <c r="H289" s="11" t="str">
        <f aca="false">IF($B289="","",IF($E289&lt;&gt;"",$E289,$L288*Calculator!$B$5*$F289/Calculator!$B$7))</f>
        <v/>
      </c>
      <c r="I289" s="11" t="str">
        <f aca="false">IF($B289="","",$L288*Calculator!$B$6*$F289/Calculator!$B$7)</f>
        <v/>
      </c>
      <c r="J289" s="11" t="str">
        <f aca="false">IF($B289="","",MAX(0,$H289-$I289))</f>
        <v/>
      </c>
      <c r="K289" s="11" t="str">
        <f aca="false">IF($B289="","",IF($D289&lt;&gt;"",$D289,$G289-$H289))</f>
        <v/>
      </c>
      <c r="L289" s="11" t="str">
        <f aca="false">IF($B289="","",$L288-$K289)</f>
        <v/>
      </c>
      <c r="M289" s="5"/>
    </row>
    <row r="290" customFormat="false" ht="15" hidden="false" customHeight="false" outlineLevel="0" collapsed="false">
      <c r="A290" s="20" t="n">
        <v>284</v>
      </c>
      <c r="B290" s="8"/>
      <c r="C290" s="5"/>
      <c r="D290" s="5"/>
      <c r="E290" s="5"/>
      <c r="F290" s="21" t="str">
        <f aca="false">IF($B290="","",$B290-$B289)</f>
        <v/>
      </c>
      <c r="G290" s="11" t="str">
        <f aca="false">IF($B290="","",IF($C290&lt;&gt;"",$C290,N($D290)+N($E290)))</f>
        <v/>
      </c>
      <c r="H290" s="11" t="str">
        <f aca="false">IF($B290="","",IF($E290&lt;&gt;"",$E290,$L289*Calculator!$B$5*$F290/Calculator!$B$7))</f>
        <v/>
      </c>
      <c r="I290" s="11" t="str">
        <f aca="false">IF($B290="","",$L289*Calculator!$B$6*$F290/Calculator!$B$7)</f>
        <v/>
      </c>
      <c r="J290" s="11" t="str">
        <f aca="false">IF($B290="","",MAX(0,$H290-$I290))</f>
        <v/>
      </c>
      <c r="K290" s="11" t="str">
        <f aca="false">IF($B290="","",IF($D290&lt;&gt;"",$D290,$G290-$H290))</f>
        <v/>
      </c>
      <c r="L290" s="11" t="str">
        <f aca="false">IF($B290="","",$L289-$K290)</f>
        <v/>
      </c>
      <c r="M290" s="5"/>
    </row>
    <row r="291" customFormat="false" ht="15" hidden="false" customHeight="false" outlineLevel="0" collapsed="false">
      <c r="A291" s="20" t="n">
        <v>285</v>
      </c>
      <c r="B291" s="8"/>
      <c r="C291" s="5"/>
      <c r="D291" s="5"/>
      <c r="E291" s="5"/>
      <c r="F291" s="21" t="str">
        <f aca="false">IF($B291="","",$B291-$B290)</f>
        <v/>
      </c>
      <c r="G291" s="11" t="str">
        <f aca="false">IF($B291="","",IF($C291&lt;&gt;"",$C291,N($D291)+N($E291)))</f>
        <v/>
      </c>
      <c r="H291" s="11" t="str">
        <f aca="false">IF($B291="","",IF($E291&lt;&gt;"",$E291,$L290*Calculator!$B$5*$F291/Calculator!$B$7))</f>
        <v/>
      </c>
      <c r="I291" s="11" t="str">
        <f aca="false">IF($B291="","",$L290*Calculator!$B$6*$F291/Calculator!$B$7)</f>
        <v/>
      </c>
      <c r="J291" s="11" t="str">
        <f aca="false">IF($B291="","",MAX(0,$H291-$I291))</f>
        <v/>
      </c>
      <c r="K291" s="11" t="str">
        <f aca="false">IF($B291="","",IF($D291&lt;&gt;"",$D291,$G291-$H291))</f>
        <v/>
      </c>
      <c r="L291" s="11" t="str">
        <f aca="false">IF($B291="","",$L290-$K291)</f>
        <v/>
      </c>
      <c r="M291" s="5"/>
    </row>
    <row r="292" customFormat="false" ht="15" hidden="false" customHeight="false" outlineLevel="0" collapsed="false">
      <c r="A292" s="20" t="n">
        <v>286</v>
      </c>
      <c r="B292" s="8"/>
      <c r="C292" s="5"/>
      <c r="D292" s="5"/>
      <c r="E292" s="5"/>
      <c r="F292" s="21" t="str">
        <f aca="false">IF($B292="","",$B292-$B291)</f>
        <v/>
      </c>
      <c r="G292" s="11" t="str">
        <f aca="false">IF($B292="","",IF($C292&lt;&gt;"",$C292,N($D292)+N($E292)))</f>
        <v/>
      </c>
      <c r="H292" s="11" t="str">
        <f aca="false">IF($B292="","",IF($E292&lt;&gt;"",$E292,$L291*Calculator!$B$5*$F292/Calculator!$B$7))</f>
        <v/>
      </c>
      <c r="I292" s="11" t="str">
        <f aca="false">IF($B292="","",$L291*Calculator!$B$6*$F292/Calculator!$B$7)</f>
        <v/>
      </c>
      <c r="J292" s="11" t="str">
        <f aca="false">IF($B292="","",MAX(0,$H292-$I292))</f>
        <v/>
      </c>
      <c r="K292" s="11" t="str">
        <f aca="false">IF($B292="","",IF($D292&lt;&gt;"",$D292,$G292-$H292))</f>
        <v/>
      </c>
      <c r="L292" s="11" t="str">
        <f aca="false">IF($B292="","",$L291-$K292)</f>
        <v/>
      </c>
      <c r="M292" s="5"/>
    </row>
    <row r="293" customFormat="false" ht="15" hidden="false" customHeight="false" outlineLevel="0" collapsed="false">
      <c r="A293" s="20" t="n">
        <v>287</v>
      </c>
      <c r="B293" s="8"/>
      <c r="C293" s="5"/>
      <c r="D293" s="5"/>
      <c r="E293" s="5"/>
      <c r="F293" s="21" t="str">
        <f aca="false">IF($B293="","",$B293-$B292)</f>
        <v/>
      </c>
      <c r="G293" s="11" t="str">
        <f aca="false">IF($B293="","",IF($C293&lt;&gt;"",$C293,N($D293)+N($E293)))</f>
        <v/>
      </c>
      <c r="H293" s="11" t="str">
        <f aca="false">IF($B293="","",IF($E293&lt;&gt;"",$E293,$L292*Calculator!$B$5*$F293/Calculator!$B$7))</f>
        <v/>
      </c>
      <c r="I293" s="11" t="str">
        <f aca="false">IF($B293="","",$L292*Calculator!$B$6*$F293/Calculator!$B$7)</f>
        <v/>
      </c>
      <c r="J293" s="11" t="str">
        <f aca="false">IF($B293="","",MAX(0,$H293-$I293))</f>
        <v/>
      </c>
      <c r="K293" s="11" t="str">
        <f aca="false">IF($B293="","",IF($D293&lt;&gt;"",$D293,$G293-$H293))</f>
        <v/>
      </c>
      <c r="L293" s="11" t="str">
        <f aca="false">IF($B293="","",$L292-$K293)</f>
        <v/>
      </c>
      <c r="M293" s="5"/>
    </row>
    <row r="294" customFormat="false" ht="15" hidden="false" customHeight="false" outlineLevel="0" collapsed="false">
      <c r="A294" s="20" t="n">
        <v>288</v>
      </c>
      <c r="B294" s="8"/>
      <c r="C294" s="5"/>
      <c r="D294" s="5"/>
      <c r="E294" s="5"/>
      <c r="F294" s="21" t="str">
        <f aca="false">IF($B294="","",$B294-$B293)</f>
        <v/>
      </c>
      <c r="G294" s="11" t="str">
        <f aca="false">IF($B294="","",IF($C294&lt;&gt;"",$C294,N($D294)+N($E294)))</f>
        <v/>
      </c>
      <c r="H294" s="11" t="str">
        <f aca="false">IF($B294="","",IF($E294&lt;&gt;"",$E294,$L293*Calculator!$B$5*$F294/Calculator!$B$7))</f>
        <v/>
      </c>
      <c r="I294" s="11" t="str">
        <f aca="false">IF($B294="","",$L293*Calculator!$B$6*$F294/Calculator!$B$7)</f>
        <v/>
      </c>
      <c r="J294" s="11" t="str">
        <f aca="false">IF($B294="","",MAX(0,$H294-$I294))</f>
        <v/>
      </c>
      <c r="K294" s="11" t="str">
        <f aca="false">IF($B294="","",IF($D294&lt;&gt;"",$D294,$G294-$H294))</f>
        <v/>
      </c>
      <c r="L294" s="11" t="str">
        <f aca="false">IF($B294="","",$L293-$K294)</f>
        <v/>
      </c>
      <c r="M294" s="5"/>
    </row>
    <row r="295" customFormat="false" ht="15" hidden="false" customHeight="false" outlineLevel="0" collapsed="false">
      <c r="A295" s="20" t="n">
        <v>289</v>
      </c>
      <c r="B295" s="8"/>
      <c r="C295" s="5"/>
      <c r="D295" s="5"/>
      <c r="E295" s="5"/>
      <c r="F295" s="21" t="str">
        <f aca="false">IF($B295="","",$B295-$B294)</f>
        <v/>
      </c>
      <c r="G295" s="11" t="str">
        <f aca="false">IF($B295="","",IF($C295&lt;&gt;"",$C295,N($D295)+N($E295)))</f>
        <v/>
      </c>
      <c r="H295" s="11" t="str">
        <f aca="false">IF($B295="","",IF($E295&lt;&gt;"",$E295,$L294*Calculator!$B$5*$F295/Calculator!$B$7))</f>
        <v/>
      </c>
      <c r="I295" s="11" t="str">
        <f aca="false">IF($B295="","",$L294*Calculator!$B$6*$F295/Calculator!$B$7)</f>
        <v/>
      </c>
      <c r="J295" s="11" t="str">
        <f aca="false">IF($B295="","",MAX(0,$H295-$I295))</f>
        <v/>
      </c>
      <c r="K295" s="11" t="str">
        <f aca="false">IF($B295="","",IF($D295&lt;&gt;"",$D295,$G295-$H295))</f>
        <v/>
      </c>
      <c r="L295" s="11" t="str">
        <f aca="false">IF($B295="","",$L294-$K295)</f>
        <v/>
      </c>
      <c r="M295" s="5"/>
    </row>
    <row r="296" customFormat="false" ht="15" hidden="false" customHeight="false" outlineLevel="0" collapsed="false">
      <c r="A296" s="20" t="n">
        <v>290</v>
      </c>
      <c r="B296" s="8"/>
      <c r="C296" s="5"/>
      <c r="D296" s="5"/>
      <c r="E296" s="5"/>
      <c r="F296" s="21" t="str">
        <f aca="false">IF($B296="","",$B296-$B295)</f>
        <v/>
      </c>
      <c r="G296" s="11" t="str">
        <f aca="false">IF($B296="","",IF($C296&lt;&gt;"",$C296,N($D296)+N($E296)))</f>
        <v/>
      </c>
      <c r="H296" s="11" t="str">
        <f aca="false">IF($B296="","",IF($E296&lt;&gt;"",$E296,$L295*Calculator!$B$5*$F296/Calculator!$B$7))</f>
        <v/>
      </c>
      <c r="I296" s="11" t="str">
        <f aca="false">IF($B296="","",$L295*Calculator!$B$6*$F296/Calculator!$B$7)</f>
        <v/>
      </c>
      <c r="J296" s="11" t="str">
        <f aca="false">IF($B296="","",MAX(0,$H296-$I296))</f>
        <v/>
      </c>
      <c r="K296" s="11" t="str">
        <f aca="false">IF($B296="","",IF($D296&lt;&gt;"",$D296,$G296-$H296))</f>
        <v/>
      </c>
      <c r="L296" s="11" t="str">
        <f aca="false">IF($B296="","",$L295-$K296)</f>
        <v/>
      </c>
      <c r="M296" s="5"/>
    </row>
    <row r="297" customFormat="false" ht="15" hidden="false" customHeight="false" outlineLevel="0" collapsed="false">
      <c r="A297" s="20" t="n">
        <v>291</v>
      </c>
      <c r="B297" s="8"/>
      <c r="C297" s="5"/>
      <c r="D297" s="5"/>
      <c r="E297" s="5"/>
      <c r="F297" s="21" t="str">
        <f aca="false">IF($B297="","",$B297-$B296)</f>
        <v/>
      </c>
      <c r="G297" s="11" t="str">
        <f aca="false">IF($B297="","",IF($C297&lt;&gt;"",$C297,N($D297)+N($E297)))</f>
        <v/>
      </c>
      <c r="H297" s="11" t="str">
        <f aca="false">IF($B297="","",IF($E297&lt;&gt;"",$E297,$L296*Calculator!$B$5*$F297/Calculator!$B$7))</f>
        <v/>
      </c>
      <c r="I297" s="11" t="str">
        <f aca="false">IF($B297="","",$L296*Calculator!$B$6*$F297/Calculator!$B$7)</f>
        <v/>
      </c>
      <c r="J297" s="11" t="str">
        <f aca="false">IF($B297="","",MAX(0,$H297-$I297))</f>
        <v/>
      </c>
      <c r="K297" s="11" t="str">
        <f aca="false">IF($B297="","",IF($D297&lt;&gt;"",$D297,$G297-$H297))</f>
        <v/>
      </c>
      <c r="L297" s="11" t="str">
        <f aca="false">IF($B297="","",$L296-$K297)</f>
        <v/>
      </c>
      <c r="M297" s="5"/>
    </row>
    <row r="298" customFormat="false" ht="15" hidden="false" customHeight="false" outlineLevel="0" collapsed="false">
      <c r="A298" s="20" t="n">
        <v>292</v>
      </c>
      <c r="B298" s="8"/>
      <c r="C298" s="5"/>
      <c r="D298" s="5"/>
      <c r="E298" s="5"/>
      <c r="F298" s="21" t="str">
        <f aca="false">IF($B298="","",$B298-$B297)</f>
        <v/>
      </c>
      <c r="G298" s="11" t="str">
        <f aca="false">IF($B298="","",IF($C298&lt;&gt;"",$C298,N($D298)+N($E298)))</f>
        <v/>
      </c>
      <c r="H298" s="11" t="str">
        <f aca="false">IF($B298="","",IF($E298&lt;&gt;"",$E298,$L297*Calculator!$B$5*$F298/Calculator!$B$7))</f>
        <v/>
      </c>
      <c r="I298" s="11" t="str">
        <f aca="false">IF($B298="","",$L297*Calculator!$B$6*$F298/Calculator!$B$7)</f>
        <v/>
      </c>
      <c r="J298" s="11" t="str">
        <f aca="false">IF($B298="","",MAX(0,$H298-$I298))</f>
        <v/>
      </c>
      <c r="K298" s="11" t="str">
        <f aca="false">IF($B298="","",IF($D298&lt;&gt;"",$D298,$G298-$H298))</f>
        <v/>
      </c>
      <c r="L298" s="11" t="str">
        <f aca="false">IF($B298="","",$L297-$K298)</f>
        <v/>
      </c>
      <c r="M298" s="5"/>
    </row>
    <row r="299" customFormat="false" ht="15" hidden="false" customHeight="false" outlineLevel="0" collapsed="false">
      <c r="A299" s="20" t="n">
        <v>293</v>
      </c>
      <c r="B299" s="8"/>
      <c r="C299" s="5"/>
      <c r="D299" s="5"/>
      <c r="E299" s="5"/>
      <c r="F299" s="21" t="str">
        <f aca="false">IF($B299="","",$B299-$B298)</f>
        <v/>
      </c>
      <c r="G299" s="11" t="str">
        <f aca="false">IF($B299="","",IF($C299&lt;&gt;"",$C299,N($D299)+N($E299)))</f>
        <v/>
      </c>
      <c r="H299" s="11" t="str">
        <f aca="false">IF($B299="","",IF($E299&lt;&gt;"",$E299,$L298*Calculator!$B$5*$F299/Calculator!$B$7))</f>
        <v/>
      </c>
      <c r="I299" s="11" t="str">
        <f aca="false">IF($B299="","",$L298*Calculator!$B$6*$F299/Calculator!$B$7)</f>
        <v/>
      </c>
      <c r="J299" s="11" t="str">
        <f aca="false">IF($B299="","",MAX(0,$H299-$I299))</f>
        <v/>
      </c>
      <c r="K299" s="11" t="str">
        <f aca="false">IF($B299="","",IF($D299&lt;&gt;"",$D299,$G299-$H299))</f>
        <v/>
      </c>
      <c r="L299" s="11" t="str">
        <f aca="false">IF($B299="","",$L298-$K299)</f>
        <v/>
      </c>
      <c r="M299" s="5"/>
    </row>
    <row r="300" customFormat="false" ht="15" hidden="false" customHeight="false" outlineLevel="0" collapsed="false">
      <c r="A300" s="20" t="n">
        <v>294</v>
      </c>
      <c r="B300" s="8"/>
      <c r="C300" s="5"/>
      <c r="D300" s="5"/>
      <c r="E300" s="5"/>
      <c r="F300" s="21" t="str">
        <f aca="false">IF($B300="","",$B300-$B299)</f>
        <v/>
      </c>
      <c r="G300" s="11" t="str">
        <f aca="false">IF($B300="","",IF($C300&lt;&gt;"",$C300,N($D300)+N($E300)))</f>
        <v/>
      </c>
      <c r="H300" s="11" t="str">
        <f aca="false">IF($B300="","",IF($E300&lt;&gt;"",$E300,$L299*Calculator!$B$5*$F300/Calculator!$B$7))</f>
        <v/>
      </c>
      <c r="I300" s="11" t="str">
        <f aca="false">IF($B300="","",$L299*Calculator!$B$6*$F300/Calculator!$B$7)</f>
        <v/>
      </c>
      <c r="J300" s="11" t="str">
        <f aca="false">IF($B300="","",MAX(0,$H300-$I300))</f>
        <v/>
      </c>
      <c r="K300" s="11" t="str">
        <f aca="false">IF($B300="","",IF($D300&lt;&gt;"",$D300,$G300-$H300))</f>
        <v/>
      </c>
      <c r="L300" s="11" t="str">
        <f aca="false">IF($B300="","",$L299-$K300)</f>
        <v/>
      </c>
      <c r="M300" s="5"/>
    </row>
    <row r="301" customFormat="false" ht="15" hidden="false" customHeight="false" outlineLevel="0" collapsed="false">
      <c r="A301" s="20" t="n">
        <v>295</v>
      </c>
      <c r="B301" s="8"/>
      <c r="C301" s="5"/>
      <c r="D301" s="5"/>
      <c r="E301" s="5"/>
      <c r="F301" s="21" t="str">
        <f aca="false">IF($B301="","",$B301-$B300)</f>
        <v/>
      </c>
      <c r="G301" s="11" t="str">
        <f aca="false">IF($B301="","",IF($C301&lt;&gt;"",$C301,N($D301)+N($E301)))</f>
        <v/>
      </c>
      <c r="H301" s="11" t="str">
        <f aca="false">IF($B301="","",IF($E301&lt;&gt;"",$E301,$L300*Calculator!$B$5*$F301/Calculator!$B$7))</f>
        <v/>
      </c>
      <c r="I301" s="11" t="str">
        <f aca="false">IF($B301="","",$L300*Calculator!$B$6*$F301/Calculator!$B$7)</f>
        <v/>
      </c>
      <c r="J301" s="11" t="str">
        <f aca="false">IF($B301="","",MAX(0,$H301-$I301))</f>
        <v/>
      </c>
      <c r="K301" s="11" t="str">
        <f aca="false">IF($B301="","",IF($D301&lt;&gt;"",$D301,$G301-$H301))</f>
        <v/>
      </c>
      <c r="L301" s="11" t="str">
        <f aca="false">IF($B301="","",$L300-$K301)</f>
        <v/>
      </c>
      <c r="M301" s="5"/>
    </row>
    <row r="302" customFormat="false" ht="15" hidden="false" customHeight="false" outlineLevel="0" collapsed="false">
      <c r="A302" s="20" t="n">
        <v>296</v>
      </c>
      <c r="B302" s="8"/>
      <c r="C302" s="5"/>
      <c r="D302" s="5"/>
      <c r="E302" s="5"/>
      <c r="F302" s="21" t="str">
        <f aca="false">IF($B302="","",$B302-$B301)</f>
        <v/>
      </c>
      <c r="G302" s="11" t="str">
        <f aca="false">IF($B302="","",IF($C302&lt;&gt;"",$C302,N($D302)+N($E302)))</f>
        <v/>
      </c>
      <c r="H302" s="11" t="str">
        <f aca="false">IF($B302="","",IF($E302&lt;&gt;"",$E302,$L301*Calculator!$B$5*$F302/Calculator!$B$7))</f>
        <v/>
      </c>
      <c r="I302" s="11" t="str">
        <f aca="false">IF($B302="","",$L301*Calculator!$B$6*$F302/Calculator!$B$7)</f>
        <v/>
      </c>
      <c r="J302" s="11" t="str">
        <f aca="false">IF($B302="","",MAX(0,$H302-$I302))</f>
        <v/>
      </c>
      <c r="K302" s="11" t="str">
        <f aca="false">IF($B302="","",IF($D302&lt;&gt;"",$D302,$G302-$H302))</f>
        <v/>
      </c>
      <c r="L302" s="11" t="str">
        <f aca="false">IF($B302="","",$L301-$K302)</f>
        <v/>
      </c>
      <c r="M302" s="5"/>
    </row>
    <row r="303" customFormat="false" ht="15" hidden="false" customHeight="false" outlineLevel="0" collapsed="false">
      <c r="A303" s="20" t="n">
        <v>297</v>
      </c>
      <c r="B303" s="8"/>
      <c r="C303" s="5"/>
      <c r="D303" s="5"/>
      <c r="E303" s="5"/>
      <c r="F303" s="21" t="str">
        <f aca="false">IF($B303="","",$B303-$B302)</f>
        <v/>
      </c>
      <c r="G303" s="11" t="str">
        <f aca="false">IF($B303="","",IF($C303&lt;&gt;"",$C303,N($D303)+N($E303)))</f>
        <v/>
      </c>
      <c r="H303" s="11" t="str">
        <f aca="false">IF($B303="","",IF($E303&lt;&gt;"",$E303,$L302*Calculator!$B$5*$F303/Calculator!$B$7))</f>
        <v/>
      </c>
      <c r="I303" s="11" t="str">
        <f aca="false">IF($B303="","",$L302*Calculator!$B$6*$F303/Calculator!$B$7)</f>
        <v/>
      </c>
      <c r="J303" s="11" t="str">
        <f aca="false">IF($B303="","",MAX(0,$H303-$I303))</f>
        <v/>
      </c>
      <c r="K303" s="11" t="str">
        <f aca="false">IF($B303="","",IF($D303&lt;&gt;"",$D303,$G303-$H303))</f>
        <v/>
      </c>
      <c r="L303" s="11" t="str">
        <f aca="false">IF($B303="","",$L302-$K303)</f>
        <v/>
      </c>
      <c r="M303" s="5"/>
    </row>
    <row r="304" customFormat="false" ht="15" hidden="false" customHeight="false" outlineLevel="0" collapsed="false">
      <c r="A304" s="20" t="n">
        <v>298</v>
      </c>
      <c r="B304" s="8"/>
      <c r="C304" s="5"/>
      <c r="D304" s="5"/>
      <c r="E304" s="5"/>
      <c r="F304" s="21" t="str">
        <f aca="false">IF($B304="","",$B304-$B303)</f>
        <v/>
      </c>
      <c r="G304" s="11" t="str">
        <f aca="false">IF($B304="","",IF($C304&lt;&gt;"",$C304,N($D304)+N($E304)))</f>
        <v/>
      </c>
      <c r="H304" s="11" t="str">
        <f aca="false">IF($B304="","",IF($E304&lt;&gt;"",$E304,$L303*Calculator!$B$5*$F304/Calculator!$B$7))</f>
        <v/>
      </c>
      <c r="I304" s="11" t="str">
        <f aca="false">IF($B304="","",$L303*Calculator!$B$6*$F304/Calculator!$B$7)</f>
        <v/>
      </c>
      <c r="J304" s="11" t="str">
        <f aca="false">IF($B304="","",MAX(0,$H304-$I304))</f>
        <v/>
      </c>
      <c r="K304" s="11" t="str">
        <f aca="false">IF($B304="","",IF($D304&lt;&gt;"",$D304,$G304-$H304))</f>
        <v/>
      </c>
      <c r="L304" s="11" t="str">
        <f aca="false">IF($B304="","",$L303-$K304)</f>
        <v/>
      </c>
      <c r="M304" s="5"/>
    </row>
    <row r="305" customFormat="false" ht="15" hidden="false" customHeight="false" outlineLevel="0" collapsed="false">
      <c r="A305" s="20" t="n">
        <v>299</v>
      </c>
      <c r="B305" s="8"/>
      <c r="C305" s="5"/>
      <c r="D305" s="5"/>
      <c r="E305" s="5"/>
      <c r="F305" s="21" t="str">
        <f aca="false">IF($B305="","",$B305-$B304)</f>
        <v/>
      </c>
      <c r="G305" s="11" t="str">
        <f aca="false">IF($B305="","",IF($C305&lt;&gt;"",$C305,N($D305)+N($E305)))</f>
        <v/>
      </c>
      <c r="H305" s="11" t="str">
        <f aca="false">IF($B305="","",IF($E305&lt;&gt;"",$E305,$L304*Calculator!$B$5*$F305/Calculator!$B$7))</f>
        <v/>
      </c>
      <c r="I305" s="11" t="str">
        <f aca="false">IF($B305="","",$L304*Calculator!$B$6*$F305/Calculator!$B$7)</f>
        <v/>
      </c>
      <c r="J305" s="11" t="str">
        <f aca="false">IF($B305="","",MAX(0,$H305-$I305))</f>
        <v/>
      </c>
      <c r="K305" s="11" t="str">
        <f aca="false">IF($B305="","",IF($D305&lt;&gt;"",$D305,$G305-$H305))</f>
        <v/>
      </c>
      <c r="L305" s="11" t="str">
        <f aca="false">IF($B305="","",$L304-$K305)</f>
        <v/>
      </c>
      <c r="M305" s="5"/>
    </row>
    <row r="306" customFormat="false" ht="15" hidden="false" customHeight="false" outlineLevel="0" collapsed="false">
      <c r="A306" s="20" t="n">
        <v>300</v>
      </c>
      <c r="B306" s="8"/>
      <c r="C306" s="5"/>
      <c r="D306" s="5"/>
      <c r="E306" s="5"/>
      <c r="F306" s="21" t="str">
        <f aca="false">IF($B306="","",$B306-$B305)</f>
        <v/>
      </c>
      <c r="G306" s="11" t="str">
        <f aca="false">IF($B306="","",IF($C306&lt;&gt;"",$C306,N($D306)+N($E306)))</f>
        <v/>
      </c>
      <c r="H306" s="11" t="str">
        <f aca="false">IF($B306="","",IF($E306&lt;&gt;"",$E306,$L305*Calculator!$B$5*$F306/Calculator!$B$7))</f>
        <v/>
      </c>
      <c r="I306" s="11" t="str">
        <f aca="false">IF($B306="","",$L305*Calculator!$B$6*$F306/Calculator!$B$7)</f>
        <v/>
      </c>
      <c r="J306" s="11" t="str">
        <f aca="false">IF($B306="","",MAX(0,$H306-$I306))</f>
        <v/>
      </c>
      <c r="K306" s="11" t="str">
        <f aca="false">IF($B306="","",IF($D306&lt;&gt;"",$D306,$G306-$H306))</f>
        <v/>
      </c>
      <c r="L306" s="11" t="str">
        <f aca="false">IF($B306="","",$L305-$K306)</f>
        <v/>
      </c>
      <c r="M306" s="5"/>
    </row>
    <row r="307" customFormat="false" ht="15" hidden="false" customHeight="false" outlineLevel="0" collapsed="false">
      <c r="A307" s="20" t="n">
        <v>301</v>
      </c>
      <c r="B307" s="8"/>
      <c r="C307" s="5"/>
      <c r="D307" s="5"/>
      <c r="E307" s="5"/>
      <c r="F307" s="21" t="str">
        <f aca="false">IF($B307="","",$B307-$B306)</f>
        <v/>
      </c>
      <c r="G307" s="11" t="str">
        <f aca="false">IF($B307="","",IF($C307&lt;&gt;"",$C307,N($D307)+N($E307)))</f>
        <v/>
      </c>
      <c r="H307" s="11" t="str">
        <f aca="false">IF($B307="","",IF($E307&lt;&gt;"",$E307,$L306*Calculator!$B$5*$F307/Calculator!$B$7))</f>
        <v/>
      </c>
      <c r="I307" s="11" t="str">
        <f aca="false">IF($B307="","",$L306*Calculator!$B$6*$F307/Calculator!$B$7)</f>
        <v/>
      </c>
      <c r="J307" s="11" t="str">
        <f aca="false">IF($B307="","",MAX(0,$H307-$I307))</f>
        <v/>
      </c>
      <c r="K307" s="11" t="str">
        <f aca="false">IF($B307="","",IF($D307&lt;&gt;"",$D307,$G307-$H307))</f>
        <v/>
      </c>
      <c r="L307" s="11" t="str">
        <f aca="false">IF($B307="","",$L306-$K307)</f>
        <v/>
      </c>
      <c r="M307" s="5"/>
    </row>
    <row r="308" customFormat="false" ht="15" hidden="false" customHeight="false" outlineLevel="0" collapsed="false">
      <c r="A308" s="20" t="n">
        <v>302</v>
      </c>
      <c r="B308" s="8"/>
      <c r="C308" s="5"/>
      <c r="D308" s="5"/>
      <c r="E308" s="5"/>
      <c r="F308" s="21" t="str">
        <f aca="false">IF($B308="","",$B308-$B307)</f>
        <v/>
      </c>
      <c r="G308" s="11" t="str">
        <f aca="false">IF($B308="","",IF($C308&lt;&gt;"",$C308,N($D308)+N($E308)))</f>
        <v/>
      </c>
      <c r="H308" s="11" t="str">
        <f aca="false">IF($B308="","",IF($E308&lt;&gt;"",$E308,$L307*Calculator!$B$5*$F308/Calculator!$B$7))</f>
        <v/>
      </c>
      <c r="I308" s="11" t="str">
        <f aca="false">IF($B308="","",$L307*Calculator!$B$6*$F308/Calculator!$B$7)</f>
        <v/>
      </c>
      <c r="J308" s="11" t="str">
        <f aca="false">IF($B308="","",MAX(0,$H308-$I308))</f>
        <v/>
      </c>
      <c r="K308" s="11" t="str">
        <f aca="false">IF($B308="","",IF($D308&lt;&gt;"",$D308,$G308-$H308))</f>
        <v/>
      </c>
      <c r="L308" s="11" t="str">
        <f aca="false">IF($B308="","",$L307-$K308)</f>
        <v/>
      </c>
      <c r="M308" s="5"/>
    </row>
    <row r="309" customFormat="false" ht="15" hidden="false" customHeight="false" outlineLevel="0" collapsed="false">
      <c r="A309" s="20" t="n">
        <v>303</v>
      </c>
      <c r="B309" s="8"/>
      <c r="C309" s="5"/>
      <c r="D309" s="5"/>
      <c r="E309" s="5"/>
      <c r="F309" s="21" t="str">
        <f aca="false">IF($B309="","",$B309-$B308)</f>
        <v/>
      </c>
      <c r="G309" s="11" t="str">
        <f aca="false">IF($B309="","",IF($C309&lt;&gt;"",$C309,N($D309)+N($E309)))</f>
        <v/>
      </c>
      <c r="H309" s="11" t="str">
        <f aca="false">IF($B309="","",IF($E309&lt;&gt;"",$E309,$L308*Calculator!$B$5*$F309/Calculator!$B$7))</f>
        <v/>
      </c>
      <c r="I309" s="11" t="str">
        <f aca="false">IF($B309="","",$L308*Calculator!$B$6*$F309/Calculator!$B$7)</f>
        <v/>
      </c>
      <c r="J309" s="11" t="str">
        <f aca="false">IF($B309="","",MAX(0,$H309-$I309))</f>
        <v/>
      </c>
      <c r="K309" s="11" t="str">
        <f aca="false">IF($B309="","",IF($D309&lt;&gt;"",$D309,$G309-$H309))</f>
        <v/>
      </c>
      <c r="L309" s="11" t="str">
        <f aca="false">IF($B309="","",$L308-$K309)</f>
        <v/>
      </c>
      <c r="M309" s="5"/>
    </row>
    <row r="310" customFormat="false" ht="15" hidden="false" customHeight="false" outlineLevel="0" collapsed="false">
      <c r="A310" s="20" t="n">
        <v>304</v>
      </c>
      <c r="B310" s="8"/>
      <c r="C310" s="5"/>
      <c r="D310" s="5"/>
      <c r="E310" s="5"/>
      <c r="F310" s="21" t="str">
        <f aca="false">IF($B310="","",$B310-$B309)</f>
        <v/>
      </c>
      <c r="G310" s="11" t="str">
        <f aca="false">IF($B310="","",IF($C310&lt;&gt;"",$C310,N($D310)+N($E310)))</f>
        <v/>
      </c>
      <c r="H310" s="11" t="str">
        <f aca="false">IF($B310="","",IF($E310&lt;&gt;"",$E310,$L309*Calculator!$B$5*$F310/Calculator!$B$7))</f>
        <v/>
      </c>
      <c r="I310" s="11" t="str">
        <f aca="false">IF($B310="","",$L309*Calculator!$B$6*$F310/Calculator!$B$7)</f>
        <v/>
      </c>
      <c r="J310" s="11" t="str">
        <f aca="false">IF($B310="","",MAX(0,$H310-$I310))</f>
        <v/>
      </c>
      <c r="K310" s="11" t="str">
        <f aca="false">IF($B310="","",IF($D310&lt;&gt;"",$D310,$G310-$H310))</f>
        <v/>
      </c>
      <c r="L310" s="11" t="str">
        <f aca="false">IF($B310="","",$L309-$K310)</f>
        <v/>
      </c>
      <c r="M310" s="5"/>
    </row>
    <row r="311" customFormat="false" ht="15" hidden="false" customHeight="false" outlineLevel="0" collapsed="false">
      <c r="A311" s="20" t="n">
        <v>305</v>
      </c>
      <c r="B311" s="8"/>
      <c r="C311" s="5"/>
      <c r="D311" s="5"/>
      <c r="E311" s="5"/>
      <c r="F311" s="21" t="str">
        <f aca="false">IF($B311="","",$B311-$B310)</f>
        <v/>
      </c>
      <c r="G311" s="11" t="str">
        <f aca="false">IF($B311="","",IF($C311&lt;&gt;"",$C311,N($D311)+N($E311)))</f>
        <v/>
      </c>
      <c r="H311" s="11" t="str">
        <f aca="false">IF($B311="","",IF($E311&lt;&gt;"",$E311,$L310*Calculator!$B$5*$F311/Calculator!$B$7))</f>
        <v/>
      </c>
      <c r="I311" s="11" t="str">
        <f aca="false">IF($B311="","",$L310*Calculator!$B$6*$F311/Calculator!$B$7)</f>
        <v/>
      </c>
      <c r="J311" s="11" t="str">
        <f aca="false">IF($B311="","",MAX(0,$H311-$I311))</f>
        <v/>
      </c>
      <c r="K311" s="11" t="str">
        <f aca="false">IF($B311="","",IF($D311&lt;&gt;"",$D311,$G311-$H311))</f>
        <v/>
      </c>
      <c r="L311" s="11" t="str">
        <f aca="false">IF($B311="","",$L310-$K311)</f>
        <v/>
      </c>
      <c r="M311" s="5"/>
    </row>
    <row r="312" customFormat="false" ht="15" hidden="false" customHeight="false" outlineLevel="0" collapsed="false">
      <c r="A312" s="20" t="n">
        <v>306</v>
      </c>
      <c r="B312" s="8"/>
      <c r="C312" s="5"/>
      <c r="D312" s="5"/>
      <c r="E312" s="5"/>
      <c r="F312" s="21" t="str">
        <f aca="false">IF($B312="","",$B312-$B311)</f>
        <v/>
      </c>
      <c r="G312" s="11" t="str">
        <f aca="false">IF($B312="","",IF($C312&lt;&gt;"",$C312,N($D312)+N($E312)))</f>
        <v/>
      </c>
      <c r="H312" s="11" t="str">
        <f aca="false">IF($B312="","",IF($E312&lt;&gt;"",$E312,$L311*Calculator!$B$5*$F312/Calculator!$B$7))</f>
        <v/>
      </c>
      <c r="I312" s="11" t="str">
        <f aca="false">IF($B312="","",$L311*Calculator!$B$6*$F312/Calculator!$B$7)</f>
        <v/>
      </c>
      <c r="J312" s="11" t="str">
        <f aca="false">IF($B312="","",MAX(0,$H312-$I312))</f>
        <v/>
      </c>
      <c r="K312" s="11" t="str">
        <f aca="false">IF($B312="","",IF($D312&lt;&gt;"",$D312,$G312-$H312))</f>
        <v/>
      </c>
      <c r="L312" s="11" t="str">
        <f aca="false">IF($B312="","",$L311-$K312)</f>
        <v/>
      </c>
      <c r="M312" s="5"/>
    </row>
    <row r="313" customFormat="false" ht="15" hidden="false" customHeight="false" outlineLevel="0" collapsed="false">
      <c r="A313" s="20" t="n">
        <v>307</v>
      </c>
      <c r="B313" s="8"/>
      <c r="C313" s="5"/>
      <c r="D313" s="5"/>
      <c r="E313" s="5"/>
      <c r="F313" s="21" t="str">
        <f aca="false">IF($B313="","",$B313-$B312)</f>
        <v/>
      </c>
      <c r="G313" s="11" t="str">
        <f aca="false">IF($B313="","",IF($C313&lt;&gt;"",$C313,N($D313)+N($E313)))</f>
        <v/>
      </c>
      <c r="H313" s="11" t="str">
        <f aca="false">IF($B313="","",IF($E313&lt;&gt;"",$E313,$L312*Calculator!$B$5*$F313/Calculator!$B$7))</f>
        <v/>
      </c>
      <c r="I313" s="11" t="str">
        <f aca="false">IF($B313="","",$L312*Calculator!$B$6*$F313/Calculator!$B$7)</f>
        <v/>
      </c>
      <c r="J313" s="11" t="str">
        <f aca="false">IF($B313="","",MAX(0,$H313-$I313))</f>
        <v/>
      </c>
      <c r="K313" s="11" t="str">
        <f aca="false">IF($B313="","",IF($D313&lt;&gt;"",$D313,$G313-$H313))</f>
        <v/>
      </c>
      <c r="L313" s="11" t="str">
        <f aca="false">IF($B313="","",$L312-$K313)</f>
        <v/>
      </c>
      <c r="M313" s="5"/>
    </row>
    <row r="314" customFormat="false" ht="15" hidden="false" customHeight="false" outlineLevel="0" collapsed="false">
      <c r="A314" s="20" t="n">
        <v>308</v>
      </c>
      <c r="B314" s="8"/>
      <c r="C314" s="5"/>
      <c r="D314" s="5"/>
      <c r="E314" s="5"/>
      <c r="F314" s="21" t="str">
        <f aca="false">IF($B314="","",$B314-$B313)</f>
        <v/>
      </c>
      <c r="G314" s="11" t="str">
        <f aca="false">IF($B314="","",IF($C314&lt;&gt;"",$C314,N($D314)+N($E314)))</f>
        <v/>
      </c>
      <c r="H314" s="11" t="str">
        <f aca="false">IF($B314="","",IF($E314&lt;&gt;"",$E314,$L313*Calculator!$B$5*$F314/Calculator!$B$7))</f>
        <v/>
      </c>
      <c r="I314" s="11" t="str">
        <f aca="false">IF($B314="","",$L313*Calculator!$B$6*$F314/Calculator!$B$7)</f>
        <v/>
      </c>
      <c r="J314" s="11" t="str">
        <f aca="false">IF($B314="","",MAX(0,$H314-$I314))</f>
        <v/>
      </c>
      <c r="K314" s="11" t="str">
        <f aca="false">IF($B314="","",IF($D314&lt;&gt;"",$D314,$G314-$H314))</f>
        <v/>
      </c>
      <c r="L314" s="11" t="str">
        <f aca="false">IF($B314="","",$L313-$K314)</f>
        <v/>
      </c>
      <c r="M314" s="5"/>
    </row>
    <row r="315" customFormat="false" ht="15" hidden="false" customHeight="false" outlineLevel="0" collapsed="false">
      <c r="A315" s="20" t="n">
        <v>309</v>
      </c>
      <c r="B315" s="8"/>
      <c r="C315" s="5"/>
      <c r="D315" s="5"/>
      <c r="E315" s="5"/>
      <c r="F315" s="21" t="str">
        <f aca="false">IF($B315="","",$B315-$B314)</f>
        <v/>
      </c>
      <c r="G315" s="11" t="str">
        <f aca="false">IF($B315="","",IF($C315&lt;&gt;"",$C315,N($D315)+N($E315)))</f>
        <v/>
      </c>
      <c r="H315" s="11" t="str">
        <f aca="false">IF($B315="","",IF($E315&lt;&gt;"",$E315,$L314*Calculator!$B$5*$F315/Calculator!$B$7))</f>
        <v/>
      </c>
      <c r="I315" s="11" t="str">
        <f aca="false">IF($B315="","",$L314*Calculator!$B$6*$F315/Calculator!$B$7)</f>
        <v/>
      </c>
      <c r="J315" s="11" t="str">
        <f aca="false">IF($B315="","",MAX(0,$H315-$I315))</f>
        <v/>
      </c>
      <c r="K315" s="11" t="str">
        <f aca="false">IF($B315="","",IF($D315&lt;&gt;"",$D315,$G315-$H315))</f>
        <v/>
      </c>
      <c r="L315" s="11" t="str">
        <f aca="false">IF($B315="","",$L314-$K315)</f>
        <v/>
      </c>
      <c r="M315" s="5"/>
    </row>
    <row r="316" customFormat="false" ht="15" hidden="false" customHeight="false" outlineLevel="0" collapsed="false">
      <c r="A316" s="20" t="n">
        <v>310</v>
      </c>
      <c r="B316" s="8"/>
      <c r="C316" s="5"/>
      <c r="D316" s="5"/>
      <c r="E316" s="5"/>
      <c r="F316" s="21" t="str">
        <f aca="false">IF($B316="","",$B316-$B315)</f>
        <v/>
      </c>
      <c r="G316" s="11" t="str">
        <f aca="false">IF($B316="","",IF($C316&lt;&gt;"",$C316,N($D316)+N($E316)))</f>
        <v/>
      </c>
      <c r="H316" s="11" t="str">
        <f aca="false">IF($B316="","",IF($E316&lt;&gt;"",$E316,$L315*Calculator!$B$5*$F316/Calculator!$B$7))</f>
        <v/>
      </c>
      <c r="I316" s="11" t="str">
        <f aca="false">IF($B316="","",$L315*Calculator!$B$6*$F316/Calculator!$B$7)</f>
        <v/>
      </c>
      <c r="J316" s="11" t="str">
        <f aca="false">IF($B316="","",MAX(0,$H316-$I316))</f>
        <v/>
      </c>
      <c r="K316" s="11" t="str">
        <f aca="false">IF($B316="","",IF($D316&lt;&gt;"",$D316,$G316-$H316))</f>
        <v/>
      </c>
      <c r="L316" s="11" t="str">
        <f aca="false">IF($B316="","",$L315-$K316)</f>
        <v/>
      </c>
      <c r="M316" s="5"/>
    </row>
    <row r="317" customFormat="false" ht="15" hidden="false" customHeight="false" outlineLevel="0" collapsed="false">
      <c r="A317" s="20" t="n">
        <v>311</v>
      </c>
      <c r="B317" s="8"/>
      <c r="C317" s="5"/>
      <c r="D317" s="5"/>
      <c r="E317" s="5"/>
      <c r="F317" s="21" t="str">
        <f aca="false">IF($B317="","",$B317-$B316)</f>
        <v/>
      </c>
      <c r="G317" s="11" t="str">
        <f aca="false">IF($B317="","",IF($C317&lt;&gt;"",$C317,N($D317)+N($E317)))</f>
        <v/>
      </c>
      <c r="H317" s="11" t="str">
        <f aca="false">IF($B317="","",IF($E317&lt;&gt;"",$E317,$L316*Calculator!$B$5*$F317/Calculator!$B$7))</f>
        <v/>
      </c>
      <c r="I317" s="11" t="str">
        <f aca="false">IF($B317="","",$L316*Calculator!$B$6*$F317/Calculator!$B$7)</f>
        <v/>
      </c>
      <c r="J317" s="11" t="str">
        <f aca="false">IF($B317="","",MAX(0,$H317-$I317))</f>
        <v/>
      </c>
      <c r="K317" s="11" t="str">
        <f aca="false">IF($B317="","",IF($D317&lt;&gt;"",$D317,$G317-$H317))</f>
        <v/>
      </c>
      <c r="L317" s="11" t="str">
        <f aca="false">IF($B317="","",$L316-$K317)</f>
        <v/>
      </c>
      <c r="M317" s="5"/>
    </row>
    <row r="318" customFormat="false" ht="15" hidden="false" customHeight="false" outlineLevel="0" collapsed="false">
      <c r="A318" s="20" t="n">
        <v>312</v>
      </c>
      <c r="B318" s="8"/>
      <c r="C318" s="5"/>
      <c r="D318" s="5"/>
      <c r="E318" s="5"/>
      <c r="F318" s="21" t="str">
        <f aca="false">IF($B318="","",$B318-$B317)</f>
        <v/>
      </c>
      <c r="G318" s="11" t="str">
        <f aca="false">IF($B318="","",IF($C318&lt;&gt;"",$C318,N($D318)+N($E318)))</f>
        <v/>
      </c>
      <c r="H318" s="11" t="str">
        <f aca="false">IF($B318="","",IF($E318&lt;&gt;"",$E318,$L317*Calculator!$B$5*$F318/Calculator!$B$7))</f>
        <v/>
      </c>
      <c r="I318" s="11" t="str">
        <f aca="false">IF($B318="","",$L317*Calculator!$B$6*$F318/Calculator!$B$7)</f>
        <v/>
      </c>
      <c r="J318" s="11" t="str">
        <f aca="false">IF($B318="","",MAX(0,$H318-$I318))</f>
        <v/>
      </c>
      <c r="K318" s="11" t="str">
        <f aca="false">IF($B318="","",IF($D318&lt;&gt;"",$D318,$G318-$H318))</f>
        <v/>
      </c>
      <c r="L318" s="11" t="str">
        <f aca="false">IF($B318="","",$L317-$K318)</f>
        <v/>
      </c>
      <c r="M318" s="5"/>
    </row>
    <row r="319" customFormat="false" ht="15" hidden="false" customHeight="false" outlineLevel="0" collapsed="false">
      <c r="A319" s="20" t="n">
        <v>313</v>
      </c>
      <c r="B319" s="8"/>
      <c r="C319" s="5"/>
      <c r="D319" s="5"/>
      <c r="E319" s="5"/>
      <c r="F319" s="21" t="str">
        <f aca="false">IF($B319="","",$B319-$B318)</f>
        <v/>
      </c>
      <c r="G319" s="11" t="str">
        <f aca="false">IF($B319="","",IF($C319&lt;&gt;"",$C319,N($D319)+N($E319)))</f>
        <v/>
      </c>
      <c r="H319" s="11" t="str">
        <f aca="false">IF($B319="","",IF($E319&lt;&gt;"",$E319,$L318*Calculator!$B$5*$F319/Calculator!$B$7))</f>
        <v/>
      </c>
      <c r="I319" s="11" t="str">
        <f aca="false">IF($B319="","",$L318*Calculator!$B$6*$F319/Calculator!$B$7)</f>
        <v/>
      </c>
      <c r="J319" s="11" t="str">
        <f aca="false">IF($B319="","",MAX(0,$H319-$I319))</f>
        <v/>
      </c>
      <c r="K319" s="11" t="str">
        <f aca="false">IF($B319="","",IF($D319&lt;&gt;"",$D319,$G319-$H319))</f>
        <v/>
      </c>
      <c r="L319" s="11" t="str">
        <f aca="false">IF($B319="","",$L318-$K319)</f>
        <v/>
      </c>
      <c r="M319" s="5"/>
    </row>
    <row r="320" customFormat="false" ht="15" hidden="false" customHeight="false" outlineLevel="0" collapsed="false">
      <c r="A320" s="20" t="n">
        <v>314</v>
      </c>
      <c r="B320" s="8"/>
      <c r="C320" s="5"/>
      <c r="D320" s="5"/>
      <c r="E320" s="5"/>
      <c r="F320" s="21" t="str">
        <f aca="false">IF($B320="","",$B320-$B319)</f>
        <v/>
      </c>
      <c r="G320" s="11" t="str">
        <f aca="false">IF($B320="","",IF($C320&lt;&gt;"",$C320,N($D320)+N($E320)))</f>
        <v/>
      </c>
      <c r="H320" s="11" t="str">
        <f aca="false">IF($B320="","",IF($E320&lt;&gt;"",$E320,$L319*Calculator!$B$5*$F320/Calculator!$B$7))</f>
        <v/>
      </c>
      <c r="I320" s="11" t="str">
        <f aca="false">IF($B320="","",$L319*Calculator!$B$6*$F320/Calculator!$B$7)</f>
        <v/>
      </c>
      <c r="J320" s="11" t="str">
        <f aca="false">IF($B320="","",MAX(0,$H320-$I320))</f>
        <v/>
      </c>
      <c r="K320" s="11" t="str">
        <f aca="false">IF($B320="","",IF($D320&lt;&gt;"",$D320,$G320-$H320))</f>
        <v/>
      </c>
      <c r="L320" s="11" t="str">
        <f aca="false">IF($B320="","",$L319-$K320)</f>
        <v/>
      </c>
      <c r="M320" s="5"/>
    </row>
    <row r="321" customFormat="false" ht="15" hidden="false" customHeight="false" outlineLevel="0" collapsed="false">
      <c r="A321" s="20" t="n">
        <v>315</v>
      </c>
      <c r="B321" s="8"/>
      <c r="C321" s="5"/>
      <c r="D321" s="5"/>
      <c r="E321" s="5"/>
      <c r="F321" s="21" t="str">
        <f aca="false">IF($B321="","",$B321-$B320)</f>
        <v/>
      </c>
      <c r="G321" s="11" t="str">
        <f aca="false">IF($B321="","",IF($C321&lt;&gt;"",$C321,N($D321)+N($E321)))</f>
        <v/>
      </c>
      <c r="H321" s="11" t="str">
        <f aca="false">IF($B321="","",IF($E321&lt;&gt;"",$E321,$L320*Calculator!$B$5*$F321/Calculator!$B$7))</f>
        <v/>
      </c>
      <c r="I321" s="11" t="str">
        <f aca="false">IF($B321="","",$L320*Calculator!$B$6*$F321/Calculator!$B$7)</f>
        <v/>
      </c>
      <c r="J321" s="11" t="str">
        <f aca="false">IF($B321="","",MAX(0,$H321-$I321))</f>
        <v/>
      </c>
      <c r="K321" s="11" t="str">
        <f aca="false">IF($B321="","",IF($D321&lt;&gt;"",$D321,$G321-$H321))</f>
        <v/>
      </c>
      <c r="L321" s="11" t="str">
        <f aca="false">IF($B321="","",$L320-$K321)</f>
        <v/>
      </c>
      <c r="M321" s="5"/>
    </row>
    <row r="322" customFormat="false" ht="15" hidden="false" customHeight="false" outlineLevel="0" collapsed="false">
      <c r="A322" s="20" t="n">
        <v>316</v>
      </c>
      <c r="B322" s="8"/>
      <c r="C322" s="5"/>
      <c r="D322" s="5"/>
      <c r="E322" s="5"/>
      <c r="F322" s="21" t="str">
        <f aca="false">IF($B322="","",$B322-$B321)</f>
        <v/>
      </c>
      <c r="G322" s="11" t="str">
        <f aca="false">IF($B322="","",IF($C322&lt;&gt;"",$C322,N($D322)+N($E322)))</f>
        <v/>
      </c>
      <c r="H322" s="11" t="str">
        <f aca="false">IF($B322="","",IF($E322&lt;&gt;"",$E322,$L321*Calculator!$B$5*$F322/Calculator!$B$7))</f>
        <v/>
      </c>
      <c r="I322" s="11" t="str">
        <f aca="false">IF($B322="","",$L321*Calculator!$B$6*$F322/Calculator!$B$7)</f>
        <v/>
      </c>
      <c r="J322" s="11" t="str">
        <f aca="false">IF($B322="","",MAX(0,$H322-$I322))</f>
        <v/>
      </c>
      <c r="K322" s="11" t="str">
        <f aca="false">IF($B322="","",IF($D322&lt;&gt;"",$D322,$G322-$H322))</f>
        <v/>
      </c>
      <c r="L322" s="11" t="str">
        <f aca="false">IF($B322="","",$L321-$K322)</f>
        <v/>
      </c>
      <c r="M322" s="5"/>
    </row>
    <row r="323" customFormat="false" ht="15" hidden="false" customHeight="false" outlineLevel="0" collapsed="false">
      <c r="A323" s="20" t="n">
        <v>317</v>
      </c>
      <c r="B323" s="8"/>
      <c r="C323" s="5"/>
      <c r="D323" s="5"/>
      <c r="E323" s="5"/>
      <c r="F323" s="21" t="str">
        <f aca="false">IF($B323="","",$B323-$B322)</f>
        <v/>
      </c>
      <c r="G323" s="11" t="str">
        <f aca="false">IF($B323="","",IF($C323&lt;&gt;"",$C323,N($D323)+N($E323)))</f>
        <v/>
      </c>
      <c r="H323" s="11" t="str">
        <f aca="false">IF($B323="","",IF($E323&lt;&gt;"",$E323,$L322*Calculator!$B$5*$F323/Calculator!$B$7))</f>
        <v/>
      </c>
      <c r="I323" s="11" t="str">
        <f aca="false">IF($B323="","",$L322*Calculator!$B$6*$F323/Calculator!$B$7)</f>
        <v/>
      </c>
      <c r="J323" s="11" t="str">
        <f aca="false">IF($B323="","",MAX(0,$H323-$I323))</f>
        <v/>
      </c>
      <c r="K323" s="11" t="str">
        <f aca="false">IF($B323="","",IF($D323&lt;&gt;"",$D323,$G323-$H323))</f>
        <v/>
      </c>
      <c r="L323" s="11" t="str">
        <f aca="false">IF($B323="","",$L322-$K323)</f>
        <v/>
      </c>
      <c r="M323" s="5"/>
    </row>
    <row r="324" customFormat="false" ht="15" hidden="false" customHeight="false" outlineLevel="0" collapsed="false">
      <c r="A324" s="20" t="n">
        <v>318</v>
      </c>
      <c r="B324" s="8"/>
      <c r="C324" s="5"/>
      <c r="D324" s="5"/>
      <c r="E324" s="5"/>
      <c r="F324" s="21" t="str">
        <f aca="false">IF($B324="","",$B324-$B323)</f>
        <v/>
      </c>
      <c r="G324" s="11" t="str">
        <f aca="false">IF($B324="","",IF($C324&lt;&gt;"",$C324,N($D324)+N($E324)))</f>
        <v/>
      </c>
      <c r="H324" s="11" t="str">
        <f aca="false">IF($B324="","",IF($E324&lt;&gt;"",$E324,$L323*Calculator!$B$5*$F324/Calculator!$B$7))</f>
        <v/>
      </c>
      <c r="I324" s="11" t="str">
        <f aca="false">IF($B324="","",$L323*Calculator!$B$6*$F324/Calculator!$B$7)</f>
        <v/>
      </c>
      <c r="J324" s="11" t="str">
        <f aca="false">IF($B324="","",MAX(0,$H324-$I324))</f>
        <v/>
      </c>
      <c r="K324" s="11" t="str">
        <f aca="false">IF($B324="","",IF($D324&lt;&gt;"",$D324,$G324-$H324))</f>
        <v/>
      </c>
      <c r="L324" s="11" t="str">
        <f aca="false">IF($B324="","",$L323-$K324)</f>
        <v/>
      </c>
      <c r="M324" s="5"/>
    </row>
    <row r="325" customFormat="false" ht="15" hidden="false" customHeight="false" outlineLevel="0" collapsed="false">
      <c r="A325" s="20" t="n">
        <v>319</v>
      </c>
      <c r="B325" s="8"/>
      <c r="C325" s="5"/>
      <c r="D325" s="5"/>
      <c r="E325" s="5"/>
      <c r="F325" s="21" t="str">
        <f aca="false">IF($B325="","",$B325-$B324)</f>
        <v/>
      </c>
      <c r="G325" s="11" t="str">
        <f aca="false">IF($B325="","",IF($C325&lt;&gt;"",$C325,N($D325)+N($E325)))</f>
        <v/>
      </c>
      <c r="H325" s="11" t="str">
        <f aca="false">IF($B325="","",IF($E325&lt;&gt;"",$E325,$L324*Calculator!$B$5*$F325/Calculator!$B$7))</f>
        <v/>
      </c>
      <c r="I325" s="11" t="str">
        <f aca="false">IF($B325="","",$L324*Calculator!$B$6*$F325/Calculator!$B$7)</f>
        <v/>
      </c>
      <c r="J325" s="11" t="str">
        <f aca="false">IF($B325="","",MAX(0,$H325-$I325))</f>
        <v/>
      </c>
      <c r="K325" s="11" t="str">
        <f aca="false">IF($B325="","",IF($D325&lt;&gt;"",$D325,$G325-$H325))</f>
        <v/>
      </c>
      <c r="L325" s="11" t="str">
        <f aca="false">IF($B325="","",$L324-$K325)</f>
        <v/>
      </c>
      <c r="M325" s="5"/>
    </row>
    <row r="326" customFormat="false" ht="15" hidden="false" customHeight="false" outlineLevel="0" collapsed="false">
      <c r="A326" s="20" t="n">
        <v>320</v>
      </c>
      <c r="B326" s="8"/>
      <c r="C326" s="5"/>
      <c r="D326" s="5"/>
      <c r="E326" s="5"/>
      <c r="F326" s="21" t="str">
        <f aca="false">IF($B326="","",$B326-$B325)</f>
        <v/>
      </c>
      <c r="G326" s="11" t="str">
        <f aca="false">IF($B326="","",IF($C326&lt;&gt;"",$C326,N($D326)+N($E326)))</f>
        <v/>
      </c>
      <c r="H326" s="11" t="str">
        <f aca="false">IF($B326="","",IF($E326&lt;&gt;"",$E326,$L325*Calculator!$B$5*$F326/Calculator!$B$7))</f>
        <v/>
      </c>
      <c r="I326" s="11" t="str">
        <f aca="false">IF($B326="","",$L325*Calculator!$B$6*$F326/Calculator!$B$7)</f>
        <v/>
      </c>
      <c r="J326" s="11" t="str">
        <f aca="false">IF($B326="","",MAX(0,$H326-$I326))</f>
        <v/>
      </c>
      <c r="K326" s="11" t="str">
        <f aca="false">IF($B326="","",IF($D326&lt;&gt;"",$D326,$G326-$H326))</f>
        <v/>
      </c>
      <c r="L326" s="11" t="str">
        <f aca="false">IF($B326="","",$L325-$K326)</f>
        <v/>
      </c>
      <c r="M326" s="5"/>
    </row>
    <row r="327" customFormat="false" ht="15" hidden="false" customHeight="false" outlineLevel="0" collapsed="false">
      <c r="A327" s="20" t="n">
        <v>321</v>
      </c>
      <c r="B327" s="8"/>
      <c r="C327" s="5"/>
      <c r="D327" s="5"/>
      <c r="E327" s="5"/>
      <c r="F327" s="21" t="str">
        <f aca="false">IF($B327="","",$B327-$B326)</f>
        <v/>
      </c>
      <c r="G327" s="11" t="str">
        <f aca="false">IF($B327="","",IF($C327&lt;&gt;"",$C327,N($D327)+N($E327)))</f>
        <v/>
      </c>
      <c r="H327" s="11" t="str">
        <f aca="false">IF($B327="","",IF($E327&lt;&gt;"",$E327,$L326*Calculator!$B$5*$F327/Calculator!$B$7))</f>
        <v/>
      </c>
      <c r="I327" s="11" t="str">
        <f aca="false">IF($B327="","",$L326*Calculator!$B$6*$F327/Calculator!$B$7)</f>
        <v/>
      </c>
      <c r="J327" s="11" t="str">
        <f aca="false">IF($B327="","",MAX(0,$H327-$I327))</f>
        <v/>
      </c>
      <c r="K327" s="11" t="str">
        <f aca="false">IF($B327="","",IF($D327&lt;&gt;"",$D327,$G327-$H327))</f>
        <v/>
      </c>
      <c r="L327" s="11" t="str">
        <f aca="false">IF($B327="","",$L326-$K327)</f>
        <v/>
      </c>
      <c r="M327" s="5"/>
    </row>
    <row r="328" customFormat="false" ht="15" hidden="false" customHeight="false" outlineLevel="0" collapsed="false">
      <c r="A328" s="20" t="n">
        <v>322</v>
      </c>
      <c r="B328" s="8"/>
      <c r="C328" s="5"/>
      <c r="D328" s="5"/>
      <c r="E328" s="5"/>
      <c r="F328" s="21" t="str">
        <f aca="false">IF($B328="","",$B328-$B327)</f>
        <v/>
      </c>
      <c r="G328" s="11" t="str">
        <f aca="false">IF($B328="","",IF($C328&lt;&gt;"",$C328,N($D328)+N($E328)))</f>
        <v/>
      </c>
      <c r="H328" s="11" t="str">
        <f aca="false">IF($B328="","",IF($E328&lt;&gt;"",$E328,$L327*Calculator!$B$5*$F328/Calculator!$B$7))</f>
        <v/>
      </c>
      <c r="I328" s="11" t="str">
        <f aca="false">IF($B328="","",$L327*Calculator!$B$6*$F328/Calculator!$B$7)</f>
        <v/>
      </c>
      <c r="J328" s="11" t="str">
        <f aca="false">IF($B328="","",MAX(0,$H328-$I328))</f>
        <v/>
      </c>
      <c r="K328" s="11" t="str">
        <f aca="false">IF($B328="","",IF($D328&lt;&gt;"",$D328,$G328-$H328))</f>
        <v/>
      </c>
      <c r="L328" s="11" t="str">
        <f aca="false">IF($B328="","",$L327-$K328)</f>
        <v/>
      </c>
      <c r="M328" s="5"/>
    </row>
    <row r="329" customFormat="false" ht="15" hidden="false" customHeight="false" outlineLevel="0" collapsed="false">
      <c r="A329" s="20" t="n">
        <v>323</v>
      </c>
      <c r="B329" s="8"/>
      <c r="C329" s="5"/>
      <c r="D329" s="5"/>
      <c r="E329" s="5"/>
      <c r="F329" s="21" t="str">
        <f aca="false">IF($B329="","",$B329-$B328)</f>
        <v/>
      </c>
      <c r="G329" s="11" t="str">
        <f aca="false">IF($B329="","",IF($C329&lt;&gt;"",$C329,N($D329)+N($E329)))</f>
        <v/>
      </c>
      <c r="H329" s="11" t="str">
        <f aca="false">IF($B329="","",IF($E329&lt;&gt;"",$E329,$L328*Calculator!$B$5*$F329/Calculator!$B$7))</f>
        <v/>
      </c>
      <c r="I329" s="11" t="str">
        <f aca="false">IF($B329="","",$L328*Calculator!$B$6*$F329/Calculator!$B$7)</f>
        <v/>
      </c>
      <c r="J329" s="11" t="str">
        <f aca="false">IF($B329="","",MAX(0,$H329-$I329))</f>
        <v/>
      </c>
      <c r="K329" s="11" t="str">
        <f aca="false">IF($B329="","",IF($D329&lt;&gt;"",$D329,$G329-$H329))</f>
        <v/>
      </c>
      <c r="L329" s="11" t="str">
        <f aca="false">IF($B329="","",$L328-$K329)</f>
        <v/>
      </c>
      <c r="M329" s="5"/>
    </row>
    <row r="330" customFormat="false" ht="15" hidden="false" customHeight="false" outlineLevel="0" collapsed="false">
      <c r="A330" s="20" t="n">
        <v>324</v>
      </c>
      <c r="B330" s="8"/>
      <c r="C330" s="5"/>
      <c r="D330" s="5"/>
      <c r="E330" s="5"/>
      <c r="F330" s="21" t="str">
        <f aca="false">IF($B330="","",$B330-$B329)</f>
        <v/>
      </c>
      <c r="G330" s="11" t="str">
        <f aca="false">IF($B330="","",IF($C330&lt;&gt;"",$C330,N($D330)+N($E330)))</f>
        <v/>
      </c>
      <c r="H330" s="11" t="str">
        <f aca="false">IF($B330="","",IF($E330&lt;&gt;"",$E330,$L329*Calculator!$B$5*$F330/Calculator!$B$7))</f>
        <v/>
      </c>
      <c r="I330" s="11" t="str">
        <f aca="false">IF($B330="","",$L329*Calculator!$B$6*$F330/Calculator!$B$7)</f>
        <v/>
      </c>
      <c r="J330" s="11" t="str">
        <f aca="false">IF($B330="","",MAX(0,$H330-$I330))</f>
        <v/>
      </c>
      <c r="K330" s="11" t="str">
        <f aca="false">IF($B330="","",IF($D330&lt;&gt;"",$D330,$G330-$H330))</f>
        <v/>
      </c>
      <c r="L330" s="11" t="str">
        <f aca="false">IF($B330="","",$L329-$K330)</f>
        <v/>
      </c>
      <c r="M330" s="5"/>
    </row>
    <row r="331" customFormat="false" ht="15" hidden="false" customHeight="false" outlineLevel="0" collapsed="false">
      <c r="A331" s="20" t="n">
        <v>325</v>
      </c>
      <c r="B331" s="8"/>
      <c r="C331" s="5"/>
      <c r="D331" s="5"/>
      <c r="E331" s="5"/>
      <c r="F331" s="21" t="str">
        <f aca="false">IF($B331="","",$B331-$B330)</f>
        <v/>
      </c>
      <c r="G331" s="11" t="str">
        <f aca="false">IF($B331="","",IF($C331&lt;&gt;"",$C331,N($D331)+N($E331)))</f>
        <v/>
      </c>
      <c r="H331" s="11" t="str">
        <f aca="false">IF($B331="","",IF($E331&lt;&gt;"",$E331,$L330*Calculator!$B$5*$F331/Calculator!$B$7))</f>
        <v/>
      </c>
      <c r="I331" s="11" t="str">
        <f aca="false">IF($B331="","",$L330*Calculator!$B$6*$F331/Calculator!$B$7)</f>
        <v/>
      </c>
      <c r="J331" s="11" t="str">
        <f aca="false">IF($B331="","",MAX(0,$H331-$I331))</f>
        <v/>
      </c>
      <c r="K331" s="11" t="str">
        <f aca="false">IF($B331="","",IF($D331&lt;&gt;"",$D331,$G331-$H331))</f>
        <v/>
      </c>
      <c r="L331" s="11" t="str">
        <f aca="false">IF($B331="","",$L330-$K331)</f>
        <v/>
      </c>
      <c r="M331" s="5"/>
    </row>
    <row r="332" customFormat="false" ht="15" hidden="false" customHeight="false" outlineLevel="0" collapsed="false">
      <c r="A332" s="20" t="n">
        <v>326</v>
      </c>
      <c r="B332" s="8"/>
      <c r="C332" s="5"/>
      <c r="D332" s="5"/>
      <c r="E332" s="5"/>
      <c r="F332" s="21" t="str">
        <f aca="false">IF($B332="","",$B332-$B331)</f>
        <v/>
      </c>
      <c r="G332" s="11" t="str">
        <f aca="false">IF($B332="","",IF($C332&lt;&gt;"",$C332,N($D332)+N($E332)))</f>
        <v/>
      </c>
      <c r="H332" s="11" t="str">
        <f aca="false">IF($B332="","",IF($E332&lt;&gt;"",$E332,$L331*Calculator!$B$5*$F332/Calculator!$B$7))</f>
        <v/>
      </c>
      <c r="I332" s="11" t="str">
        <f aca="false">IF($B332="","",$L331*Calculator!$B$6*$F332/Calculator!$B$7)</f>
        <v/>
      </c>
      <c r="J332" s="11" t="str">
        <f aca="false">IF($B332="","",MAX(0,$H332-$I332))</f>
        <v/>
      </c>
      <c r="K332" s="11" t="str">
        <f aca="false">IF($B332="","",IF($D332&lt;&gt;"",$D332,$G332-$H332))</f>
        <v/>
      </c>
      <c r="L332" s="11" t="str">
        <f aca="false">IF($B332="","",$L331-$K332)</f>
        <v/>
      </c>
      <c r="M332" s="5"/>
    </row>
    <row r="333" customFormat="false" ht="15" hidden="false" customHeight="false" outlineLevel="0" collapsed="false">
      <c r="A333" s="20" t="n">
        <v>327</v>
      </c>
      <c r="B333" s="8"/>
      <c r="C333" s="5"/>
      <c r="D333" s="5"/>
      <c r="E333" s="5"/>
      <c r="F333" s="21" t="str">
        <f aca="false">IF($B333="","",$B333-$B332)</f>
        <v/>
      </c>
      <c r="G333" s="11" t="str">
        <f aca="false">IF($B333="","",IF($C333&lt;&gt;"",$C333,N($D333)+N($E333)))</f>
        <v/>
      </c>
      <c r="H333" s="11" t="str">
        <f aca="false">IF($B333="","",IF($E333&lt;&gt;"",$E333,$L332*Calculator!$B$5*$F333/Calculator!$B$7))</f>
        <v/>
      </c>
      <c r="I333" s="11" t="str">
        <f aca="false">IF($B333="","",$L332*Calculator!$B$6*$F333/Calculator!$B$7)</f>
        <v/>
      </c>
      <c r="J333" s="11" t="str">
        <f aca="false">IF($B333="","",MAX(0,$H333-$I333))</f>
        <v/>
      </c>
      <c r="K333" s="11" t="str">
        <f aca="false">IF($B333="","",IF($D333&lt;&gt;"",$D333,$G333-$H333))</f>
        <v/>
      </c>
      <c r="L333" s="11" t="str">
        <f aca="false">IF($B333="","",$L332-$K333)</f>
        <v/>
      </c>
      <c r="M333" s="5"/>
    </row>
    <row r="334" customFormat="false" ht="15" hidden="false" customHeight="false" outlineLevel="0" collapsed="false">
      <c r="A334" s="20" t="n">
        <v>328</v>
      </c>
      <c r="B334" s="8"/>
      <c r="C334" s="5"/>
      <c r="D334" s="5"/>
      <c r="E334" s="5"/>
      <c r="F334" s="21" t="str">
        <f aca="false">IF($B334="","",$B334-$B333)</f>
        <v/>
      </c>
      <c r="G334" s="11" t="str">
        <f aca="false">IF($B334="","",IF($C334&lt;&gt;"",$C334,N($D334)+N($E334)))</f>
        <v/>
      </c>
      <c r="H334" s="11" t="str">
        <f aca="false">IF($B334="","",IF($E334&lt;&gt;"",$E334,$L333*Calculator!$B$5*$F334/Calculator!$B$7))</f>
        <v/>
      </c>
      <c r="I334" s="11" t="str">
        <f aca="false">IF($B334="","",$L333*Calculator!$B$6*$F334/Calculator!$B$7)</f>
        <v/>
      </c>
      <c r="J334" s="11" t="str">
        <f aca="false">IF($B334="","",MAX(0,$H334-$I334))</f>
        <v/>
      </c>
      <c r="K334" s="11" t="str">
        <f aca="false">IF($B334="","",IF($D334&lt;&gt;"",$D334,$G334-$H334))</f>
        <v/>
      </c>
      <c r="L334" s="11" t="str">
        <f aca="false">IF($B334="","",$L333-$K334)</f>
        <v/>
      </c>
      <c r="M334" s="5"/>
    </row>
    <row r="335" customFormat="false" ht="15" hidden="false" customHeight="false" outlineLevel="0" collapsed="false">
      <c r="A335" s="20" t="n">
        <v>329</v>
      </c>
      <c r="B335" s="8"/>
      <c r="C335" s="5"/>
      <c r="D335" s="5"/>
      <c r="E335" s="5"/>
      <c r="F335" s="21" t="str">
        <f aca="false">IF($B335="","",$B335-$B334)</f>
        <v/>
      </c>
      <c r="G335" s="11" t="str">
        <f aca="false">IF($B335="","",IF($C335&lt;&gt;"",$C335,N($D335)+N($E335)))</f>
        <v/>
      </c>
      <c r="H335" s="11" t="str">
        <f aca="false">IF($B335="","",IF($E335&lt;&gt;"",$E335,$L334*Calculator!$B$5*$F335/Calculator!$B$7))</f>
        <v/>
      </c>
      <c r="I335" s="11" t="str">
        <f aca="false">IF($B335="","",$L334*Calculator!$B$6*$F335/Calculator!$B$7)</f>
        <v/>
      </c>
      <c r="J335" s="11" t="str">
        <f aca="false">IF($B335="","",MAX(0,$H335-$I335))</f>
        <v/>
      </c>
      <c r="K335" s="11" t="str">
        <f aca="false">IF($B335="","",IF($D335&lt;&gt;"",$D335,$G335-$H335))</f>
        <v/>
      </c>
      <c r="L335" s="11" t="str">
        <f aca="false">IF($B335="","",$L334-$K335)</f>
        <v/>
      </c>
      <c r="M335" s="5"/>
    </row>
    <row r="336" customFormat="false" ht="15" hidden="false" customHeight="false" outlineLevel="0" collapsed="false">
      <c r="A336" s="20" t="n">
        <v>330</v>
      </c>
      <c r="B336" s="8"/>
      <c r="C336" s="5"/>
      <c r="D336" s="5"/>
      <c r="E336" s="5"/>
      <c r="F336" s="21" t="str">
        <f aca="false">IF($B336="","",$B336-$B335)</f>
        <v/>
      </c>
      <c r="G336" s="11" t="str">
        <f aca="false">IF($B336="","",IF($C336&lt;&gt;"",$C336,N($D336)+N($E336)))</f>
        <v/>
      </c>
      <c r="H336" s="11" t="str">
        <f aca="false">IF($B336="","",IF($E336&lt;&gt;"",$E336,$L335*Calculator!$B$5*$F336/Calculator!$B$7))</f>
        <v/>
      </c>
      <c r="I336" s="11" t="str">
        <f aca="false">IF($B336="","",$L335*Calculator!$B$6*$F336/Calculator!$B$7)</f>
        <v/>
      </c>
      <c r="J336" s="11" t="str">
        <f aca="false">IF($B336="","",MAX(0,$H336-$I336))</f>
        <v/>
      </c>
      <c r="K336" s="11" t="str">
        <f aca="false">IF($B336="","",IF($D336&lt;&gt;"",$D336,$G336-$H336))</f>
        <v/>
      </c>
      <c r="L336" s="11" t="str">
        <f aca="false">IF($B336="","",$L335-$K336)</f>
        <v/>
      </c>
      <c r="M336" s="5"/>
    </row>
    <row r="337" customFormat="false" ht="15" hidden="false" customHeight="false" outlineLevel="0" collapsed="false">
      <c r="A337" s="20" t="n">
        <v>331</v>
      </c>
      <c r="B337" s="8"/>
      <c r="C337" s="5"/>
      <c r="D337" s="5"/>
      <c r="E337" s="5"/>
      <c r="F337" s="21" t="str">
        <f aca="false">IF($B337="","",$B337-$B336)</f>
        <v/>
      </c>
      <c r="G337" s="11" t="str">
        <f aca="false">IF($B337="","",IF($C337&lt;&gt;"",$C337,N($D337)+N($E337)))</f>
        <v/>
      </c>
      <c r="H337" s="11" t="str">
        <f aca="false">IF($B337="","",IF($E337&lt;&gt;"",$E337,$L336*Calculator!$B$5*$F337/Calculator!$B$7))</f>
        <v/>
      </c>
      <c r="I337" s="11" t="str">
        <f aca="false">IF($B337="","",$L336*Calculator!$B$6*$F337/Calculator!$B$7)</f>
        <v/>
      </c>
      <c r="J337" s="11" t="str">
        <f aca="false">IF($B337="","",MAX(0,$H337-$I337))</f>
        <v/>
      </c>
      <c r="K337" s="11" t="str">
        <f aca="false">IF($B337="","",IF($D337&lt;&gt;"",$D337,$G337-$H337))</f>
        <v/>
      </c>
      <c r="L337" s="11" t="str">
        <f aca="false">IF($B337="","",$L336-$K337)</f>
        <v/>
      </c>
      <c r="M337" s="5"/>
    </row>
    <row r="338" customFormat="false" ht="15" hidden="false" customHeight="false" outlineLevel="0" collapsed="false">
      <c r="A338" s="20" t="n">
        <v>332</v>
      </c>
      <c r="B338" s="8"/>
      <c r="C338" s="5"/>
      <c r="D338" s="5"/>
      <c r="E338" s="5"/>
      <c r="F338" s="21" t="str">
        <f aca="false">IF($B338="","",$B338-$B337)</f>
        <v/>
      </c>
      <c r="G338" s="11" t="str">
        <f aca="false">IF($B338="","",IF($C338&lt;&gt;"",$C338,N($D338)+N($E338)))</f>
        <v/>
      </c>
      <c r="H338" s="11" t="str">
        <f aca="false">IF($B338="","",IF($E338&lt;&gt;"",$E338,$L337*Calculator!$B$5*$F338/Calculator!$B$7))</f>
        <v/>
      </c>
      <c r="I338" s="11" t="str">
        <f aca="false">IF($B338="","",$L337*Calculator!$B$6*$F338/Calculator!$B$7)</f>
        <v/>
      </c>
      <c r="J338" s="11" t="str">
        <f aca="false">IF($B338="","",MAX(0,$H338-$I338))</f>
        <v/>
      </c>
      <c r="K338" s="11" t="str">
        <f aca="false">IF($B338="","",IF($D338&lt;&gt;"",$D338,$G338-$H338))</f>
        <v/>
      </c>
      <c r="L338" s="11" t="str">
        <f aca="false">IF($B338="","",$L337-$K338)</f>
        <v/>
      </c>
      <c r="M338" s="5"/>
    </row>
    <row r="339" customFormat="false" ht="15" hidden="false" customHeight="false" outlineLevel="0" collapsed="false">
      <c r="A339" s="20" t="n">
        <v>333</v>
      </c>
      <c r="B339" s="8"/>
      <c r="C339" s="5"/>
      <c r="D339" s="5"/>
      <c r="E339" s="5"/>
      <c r="F339" s="21" t="str">
        <f aca="false">IF($B339="","",$B339-$B338)</f>
        <v/>
      </c>
      <c r="G339" s="11" t="str">
        <f aca="false">IF($B339="","",IF($C339&lt;&gt;"",$C339,N($D339)+N($E339)))</f>
        <v/>
      </c>
      <c r="H339" s="11" t="str">
        <f aca="false">IF($B339="","",IF($E339&lt;&gt;"",$E339,$L338*Calculator!$B$5*$F339/Calculator!$B$7))</f>
        <v/>
      </c>
      <c r="I339" s="11" t="str">
        <f aca="false">IF($B339="","",$L338*Calculator!$B$6*$F339/Calculator!$B$7)</f>
        <v/>
      </c>
      <c r="J339" s="11" t="str">
        <f aca="false">IF($B339="","",MAX(0,$H339-$I339))</f>
        <v/>
      </c>
      <c r="K339" s="11" t="str">
        <f aca="false">IF($B339="","",IF($D339&lt;&gt;"",$D339,$G339-$H339))</f>
        <v/>
      </c>
      <c r="L339" s="11" t="str">
        <f aca="false">IF($B339="","",$L338-$K339)</f>
        <v/>
      </c>
      <c r="M339" s="5"/>
    </row>
    <row r="340" customFormat="false" ht="15" hidden="false" customHeight="false" outlineLevel="0" collapsed="false">
      <c r="A340" s="20" t="n">
        <v>334</v>
      </c>
      <c r="B340" s="8"/>
      <c r="C340" s="5"/>
      <c r="D340" s="5"/>
      <c r="E340" s="5"/>
      <c r="F340" s="21" t="str">
        <f aca="false">IF($B340="","",$B340-$B339)</f>
        <v/>
      </c>
      <c r="G340" s="11" t="str">
        <f aca="false">IF($B340="","",IF($C340&lt;&gt;"",$C340,N($D340)+N($E340)))</f>
        <v/>
      </c>
      <c r="H340" s="11" t="str">
        <f aca="false">IF($B340="","",IF($E340&lt;&gt;"",$E340,$L339*Calculator!$B$5*$F340/Calculator!$B$7))</f>
        <v/>
      </c>
      <c r="I340" s="11" t="str">
        <f aca="false">IF($B340="","",$L339*Calculator!$B$6*$F340/Calculator!$B$7)</f>
        <v/>
      </c>
      <c r="J340" s="11" t="str">
        <f aca="false">IF($B340="","",MAX(0,$H340-$I340))</f>
        <v/>
      </c>
      <c r="K340" s="11" t="str">
        <f aca="false">IF($B340="","",IF($D340&lt;&gt;"",$D340,$G340-$H340))</f>
        <v/>
      </c>
      <c r="L340" s="11" t="str">
        <f aca="false">IF($B340="","",$L339-$K340)</f>
        <v/>
      </c>
      <c r="M340" s="5"/>
    </row>
    <row r="341" customFormat="false" ht="15" hidden="false" customHeight="false" outlineLevel="0" collapsed="false">
      <c r="A341" s="20" t="n">
        <v>335</v>
      </c>
      <c r="B341" s="8"/>
      <c r="C341" s="5"/>
      <c r="D341" s="5"/>
      <c r="E341" s="5"/>
      <c r="F341" s="21" t="str">
        <f aca="false">IF($B341="","",$B341-$B340)</f>
        <v/>
      </c>
      <c r="G341" s="11" t="str">
        <f aca="false">IF($B341="","",IF($C341&lt;&gt;"",$C341,N($D341)+N($E341)))</f>
        <v/>
      </c>
      <c r="H341" s="11" t="str">
        <f aca="false">IF($B341="","",IF($E341&lt;&gt;"",$E341,$L340*Calculator!$B$5*$F341/Calculator!$B$7))</f>
        <v/>
      </c>
      <c r="I341" s="11" t="str">
        <f aca="false">IF($B341="","",$L340*Calculator!$B$6*$F341/Calculator!$B$7)</f>
        <v/>
      </c>
      <c r="J341" s="11" t="str">
        <f aca="false">IF($B341="","",MAX(0,$H341-$I341))</f>
        <v/>
      </c>
      <c r="K341" s="11" t="str">
        <f aca="false">IF($B341="","",IF($D341&lt;&gt;"",$D341,$G341-$H341))</f>
        <v/>
      </c>
      <c r="L341" s="11" t="str">
        <f aca="false">IF($B341="","",$L340-$K341)</f>
        <v/>
      </c>
      <c r="M341" s="5"/>
    </row>
    <row r="342" customFormat="false" ht="15" hidden="false" customHeight="false" outlineLevel="0" collapsed="false">
      <c r="A342" s="20" t="n">
        <v>336</v>
      </c>
      <c r="B342" s="8"/>
      <c r="C342" s="5"/>
      <c r="D342" s="5"/>
      <c r="E342" s="5"/>
      <c r="F342" s="21" t="str">
        <f aca="false">IF($B342="","",$B342-$B341)</f>
        <v/>
      </c>
      <c r="G342" s="11" t="str">
        <f aca="false">IF($B342="","",IF($C342&lt;&gt;"",$C342,N($D342)+N($E342)))</f>
        <v/>
      </c>
      <c r="H342" s="11" t="str">
        <f aca="false">IF($B342="","",IF($E342&lt;&gt;"",$E342,$L341*Calculator!$B$5*$F342/Calculator!$B$7))</f>
        <v/>
      </c>
      <c r="I342" s="11" t="str">
        <f aca="false">IF($B342="","",$L341*Calculator!$B$6*$F342/Calculator!$B$7)</f>
        <v/>
      </c>
      <c r="J342" s="11" t="str">
        <f aca="false">IF($B342="","",MAX(0,$H342-$I342))</f>
        <v/>
      </c>
      <c r="K342" s="11" t="str">
        <f aca="false">IF($B342="","",IF($D342&lt;&gt;"",$D342,$G342-$H342))</f>
        <v/>
      </c>
      <c r="L342" s="11" t="str">
        <f aca="false">IF($B342="","",$L341-$K342)</f>
        <v/>
      </c>
      <c r="M342" s="5"/>
    </row>
    <row r="343" customFormat="false" ht="15" hidden="false" customHeight="false" outlineLevel="0" collapsed="false">
      <c r="A343" s="20" t="n">
        <v>337</v>
      </c>
      <c r="B343" s="8"/>
      <c r="C343" s="5"/>
      <c r="D343" s="5"/>
      <c r="E343" s="5"/>
      <c r="F343" s="21" t="str">
        <f aca="false">IF($B343="","",$B343-$B342)</f>
        <v/>
      </c>
      <c r="G343" s="11" t="str">
        <f aca="false">IF($B343="","",IF($C343&lt;&gt;"",$C343,N($D343)+N($E343)))</f>
        <v/>
      </c>
      <c r="H343" s="11" t="str">
        <f aca="false">IF($B343="","",IF($E343&lt;&gt;"",$E343,$L342*Calculator!$B$5*$F343/Calculator!$B$7))</f>
        <v/>
      </c>
      <c r="I343" s="11" t="str">
        <f aca="false">IF($B343="","",$L342*Calculator!$B$6*$F343/Calculator!$B$7)</f>
        <v/>
      </c>
      <c r="J343" s="11" t="str">
        <f aca="false">IF($B343="","",MAX(0,$H343-$I343))</f>
        <v/>
      </c>
      <c r="K343" s="11" t="str">
        <f aca="false">IF($B343="","",IF($D343&lt;&gt;"",$D343,$G343-$H343))</f>
        <v/>
      </c>
      <c r="L343" s="11" t="str">
        <f aca="false">IF($B343="","",$L342-$K343)</f>
        <v/>
      </c>
      <c r="M343" s="5"/>
    </row>
    <row r="344" customFormat="false" ht="15" hidden="false" customHeight="false" outlineLevel="0" collapsed="false">
      <c r="A344" s="20" t="n">
        <v>338</v>
      </c>
      <c r="B344" s="8"/>
      <c r="C344" s="5"/>
      <c r="D344" s="5"/>
      <c r="E344" s="5"/>
      <c r="F344" s="21" t="str">
        <f aca="false">IF($B344="","",$B344-$B343)</f>
        <v/>
      </c>
      <c r="G344" s="11" t="str">
        <f aca="false">IF($B344="","",IF($C344&lt;&gt;"",$C344,N($D344)+N($E344)))</f>
        <v/>
      </c>
      <c r="H344" s="11" t="str">
        <f aca="false">IF($B344="","",IF($E344&lt;&gt;"",$E344,$L343*Calculator!$B$5*$F344/Calculator!$B$7))</f>
        <v/>
      </c>
      <c r="I344" s="11" t="str">
        <f aca="false">IF($B344="","",$L343*Calculator!$B$6*$F344/Calculator!$B$7)</f>
        <v/>
      </c>
      <c r="J344" s="11" t="str">
        <f aca="false">IF($B344="","",MAX(0,$H344-$I344))</f>
        <v/>
      </c>
      <c r="K344" s="11" t="str">
        <f aca="false">IF($B344="","",IF($D344&lt;&gt;"",$D344,$G344-$H344))</f>
        <v/>
      </c>
      <c r="L344" s="11" t="str">
        <f aca="false">IF($B344="","",$L343-$K344)</f>
        <v/>
      </c>
      <c r="M344" s="5"/>
    </row>
    <row r="345" customFormat="false" ht="15" hidden="false" customHeight="false" outlineLevel="0" collapsed="false">
      <c r="A345" s="20" t="n">
        <v>339</v>
      </c>
      <c r="B345" s="8"/>
      <c r="C345" s="5"/>
      <c r="D345" s="5"/>
      <c r="E345" s="5"/>
      <c r="F345" s="21" t="str">
        <f aca="false">IF($B345="","",$B345-$B344)</f>
        <v/>
      </c>
      <c r="G345" s="11" t="str">
        <f aca="false">IF($B345="","",IF($C345&lt;&gt;"",$C345,N($D345)+N($E345)))</f>
        <v/>
      </c>
      <c r="H345" s="11" t="str">
        <f aca="false">IF($B345="","",IF($E345&lt;&gt;"",$E345,$L344*Calculator!$B$5*$F345/Calculator!$B$7))</f>
        <v/>
      </c>
      <c r="I345" s="11" t="str">
        <f aca="false">IF($B345="","",$L344*Calculator!$B$6*$F345/Calculator!$B$7)</f>
        <v/>
      </c>
      <c r="J345" s="11" t="str">
        <f aca="false">IF($B345="","",MAX(0,$H345-$I345))</f>
        <v/>
      </c>
      <c r="K345" s="11" t="str">
        <f aca="false">IF($B345="","",IF($D345&lt;&gt;"",$D345,$G345-$H345))</f>
        <v/>
      </c>
      <c r="L345" s="11" t="str">
        <f aca="false">IF($B345="","",$L344-$K345)</f>
        <v/>
      </c>
      <c r="M345" s="5"/>
    </row>
    <row r="346" customFormat="false" ht="15" hidden="false" customHeight="false" outlineLevel="0" collapsed="false">
      <c r="A346" s="20" t="n">
        <v>340</v>
      </c>
      <c r="B346" s="8"/>
      <c r="C346" s="5"/>
      <c r="D346" s="5"/>
      <c r="E346" s="5"/>
      <c r="F346" s="21" t="str">
        <f aca="false">IF($B346="","",$B346-$B345)</f>
        <v/>
      </c>
      <c r="G346" s="11" t="str">
        <f aca="false">IF($B346="","",IF($C346&lt;&gt;"",$C346,N($D346)+N($E346)))</f>
        <v/>
      </c>
      <c r="H346" s="11" t="str">
        <f aca="false">IF($B346="","",IF($E346&lt;&gt;"",$E346,$L345*Calculator!$B$5*$F346/Calculator!$B$7))</f>
        <v/>
      </c>
      <c r="I346" s="11" t="str">
        <f aca="false">IF($B346="","",$L345*Calculator!$B$6*$F346/Calculator!$B$7)</f>
        <v/>
      </c>
      <c r="J346" s="11" t="str">
        <f aca="false">IF($B346="","",MAX(0,$H346-$I346))</f>
        <v/>
      </c>
      <c r="K346" s="11" t="str">
        <f aca="false">IF($B346="","",IF($D346&lt;&gt;"",$D346,$G346-$H346))</f>
        <v/>
      </c>
      <c r="L346" s="11" t="str">
        <f aca="false">IF($B346="","",$L345-$K346)</f>
        <v/>
      </c>
      <c r="M346" s="5"/>
    </row>
    <row r="347" customFormat="false" ht="15" hidden="false" customHeight="false" outlineLevel="0" collapsed="false">
      <c r="A347" s="20" t="n">
        <v>341</v>
      </c>
      <c r="B347" s="8"/>
      <c r="C347" s="5"/>
      <c r="D347" s="5"/>
      <c r="E347" s="5"/>
      <c r="F347" s="21" t="str">
        <f aca="false">IF($B347="","",$B347-$B346)</f>
        <v/>
      </c>
      <c r="G347" s="11" t="str">
        <f aca="false">IF($B347="","",IF($C347&lt;&gt;"",$C347,N($D347)+N($E347)))</f>
        <v/>
      </c>
      <c r="H347" s="11" t="str">
        <f aca="false">IF($B347="","",IF($E347&lt;&gt;"",$E347,$L346*Calculator!$B$5*$F347/Calculator!$B$7))</f>
        <v/>
      </c>
      <c r="I347" s="11" t="str">
        <f aca="false">IF($B347="","",$L346*Calculator!$B$6*$F347/Calculator!$B$7)</f>
        <v/>
      </c>
      <c r="J347" s="11" t="str">
        <f aca="false">IF($B347="","",MAX(0,$H347-$I347))</f>
        <v/>
      </c>
      <c r="K347" s="11" t="str">
        <f aca="false">IF($B347="","",IF($D347&lt;&gt;"",$D347,$G347-$H347))</f>
        <v/>
      </c>
      <c r="L347" s="11" t="str">
        <f aca="false">IF($B347="","",$L346-$K347)</f>
        <v/>
      </c>
      <c r="M347" s="5"/>
    </row>
    <row r="348" customFormat="false" ht="15" hidden="false" customHeight="false" outlineLevel="0" collapsed="false">
      <c r="A348" s="20" t="n">
        <v>342</v>
      </c>
      <c r="B348" s="8"/>
      <c r="C348" s="5"/>
      <c r="D348" s="5"/>
      <c r="E348" s="5"/>
      <c r="F348" s="21" t="str">
        <f aca="false">IF($B348="","",$B348-$B347)</f>
        <v/>
      </c>
      <c r="G348" s="11" t="str">
        <f aca="false">IF($B348="","",IF($C348&lt;&gt;"",$C348,N($D348)+N($E348)))</f>
        <v/>
      </c>
      <c r="H348" s="11" t="str">
        <f aca="false">IF($B348="","",IF($E348&lt;&gt;"",$E348,$L347*Calculator!$B$5*$F348/Calculator!$B$7))</f>
        <v/>
      </c>
      <c r="I348" s="11" t="str">
        <f aca="false">IF($B348="","",$L347*Calculator!$B$6*$F348/Calculator!$B$7)</f>
        <v/>
      </c>
      <c r="J348" s="11" t="str">
        <f aca="false">IF($B348="","",MAX(0,$H348-$I348))</f>
        <v/>
      </c>
      <c r="K348" s="11" t="str">
        <f aca="false">IF($B348="","",IF($D348&lt;&gt;"",$D348,$G348-$H348))</f>
        <v/>
      </c>
      <c r="L348" s="11" t="str">
        <f aca="false">IF($B348="","",$L347-$K348)</f>
        <v/>
      </c>
      <c r="M348" s="5"/>
    </row>
    <row r="349" customFormat="false" ht="15" hidden="false" customHeight="false" outlineLevel="0" collapsed="false">
      <c r="A349" s="20" t="n">
        <v>343</v>
      </c>
      <c r="B349" s="8"/>
      <c r="C349" s="5"/>
      <c r="D349" s="5"/>
      <c r="E349" s="5"/>
      <c r="F349" s="21" t="str">
        <f aca="false">IF($B349="","",$B349-$B348)</f>
        <v/>
      </c>
      <c r="G349" s="11" t="str">
        <f aca="false">IF($B349="","",IF($C349&lt;&gt;"",$C349,N($D349)+N($E349)))</f>
        <v/>
      </c>
      <c r="H349" s="11" t="str">
        <f aca="false">IF($B349="","",IF($E349&lt;&gt;"",$E349,$L348*Calculator!$B$5*$F349/Calculator!$B$7))</f>
        <v/>
      </c>
      <c r="I349" s="11" t="str">
        <f aca="false">IF($B349="","",$L348*Calculator!$B$6*$F349/Calculator!$B$7)</f>
        <v/>
      </c>
      <c r="J349" s="11" t="str">
        <f aca="false">IF($B349="","",MAX(0,$H349-$I349))</f>
        <v/>
      </c>
      <c r="K349" s="11" t="str">
        <f aca="false">IF($B349="","",IF($D349&lt;&gt;"",$D349,$G349-$H349))</f>
        <v/>
      </c>
      <c r="L349" s="11" t="str">
        <f aca="false">IF($B349="","",$L348-$K349)</f>
        <v/>
      </c>
      <c r="M349" s="5"/>
    </row>
    <row r="350" customFormat="false" ht="15" hidden="false" customHeight="false" outlineLevel="0" collapsed="false">
      <c r="A350" s="20" t="n">
        <v>344</v>
      </c>
      <c r="B350" s="8"/>
      <c r="C350" s="5"/>
      <c r="D350" s="5"/>
      <c r="E350" s="5"/>
      <c r="F350" s="21" t="str">
        <f aca="false">IF($B350="","",$B350-$B349)</f>
        <v/>
      </c>
      <c r="G350" s="11" t="str">
        <f aca="false">IF($B350="","",IF($C350&lt;&gt;"",$C350,N($D350)+N($E350)))</f>
        <v/>
      </c>
      <c r="H350" s="11" t="str">
        <f aca="false">IF($B350="","",IF($E350&lt;&gt;"",$E350,$L349*Calculator!$B$5*$F350/Calculator!$B$7))</f>
        <v/>
      </c>
      <c r="I350" s="11" t="str">
        <f aca="false">IF($B350="","",$L349*Calculator!$B$6*$F350/Calculator!$B$7)</f>
        <v/>
      </c>
      <c r="J350" s="11" t="str">
        <f aca="false">IF($B350="","",MAX(0,$H350-$I350))</f>
        <v/>
      </c>
      <c r="K350" s="11" t="str">
        <f aca="false">IF($B350="","",IF($D350&lt;&gt;"",$D350,$G350-$H350))</f>
        <v/>
      </c>
      <c r="L350" s="11" t="str">
        <f aca="false">IF($B350="","",$L349-$K350)</f>
        <v/>
      </c>
      <c r="M350" s="5"/>
    </row>
    <row r="351" customFormat="false" ht="15" hidden="false" customHeight="false" outlineLevel="0" collapsed="false">
      <c r="A351" s="20" t="n">
        <v>345</v>
      </c>
      <c r="B351" s="8"/>
      <c r="C351" s="5"/>
      <c r="D351" s="5"/>
      <c r="E351" s="5"/>
      <c r="F351" s="21" t="str">
        <f aca="false">IF($B351="","",$B351-$B350)</f>
        <v/>
      </c>
      <c r="G351" s="11" t="str">
        <f aca="false">IF($B351="","",IF($C351&lt;&gt;"",$C351,N($D351)+N($E351)))</f>
        <v/>
      </c>
      <c r="H351" s="11" t="str">
        <f aca="false">IF($B351="","",IF($E351&lt;&gt;"",$E351,$L350*Calculator!$B$5*$F351/Calculator!$B$7))</f>
        <v/>
      </c>
      <c r="I351" s="11" t="str">
        <f aca="false">IF($B351="","",$L350*Calculator!$B$6*$F351/Calculator!$B$7)</f>
        <v/>
      </c>
      <c r="J351" s="11" t="str">
        <f aca="false">IF($B351="","",MAX(0,$H351-$I351))</f>
        <v/>
      </c>
      <c r="K351" s="11" t="str">
        <f aca="false">IF($B351="","",IF($D351&lt;&gt;"",$D351,$G351-$H351))</f>
        <v/>
      </c>
      <c r="L351" s="11" t="str">
        <f aca="false">IF($B351="","",$L350-$K351)</f>
        <v/>
      </c>
      <c r="M351" s="5"/>
    </row>
    <row r="352" customFormat="false" ht="15" hidden="false" customHeight="false" outlineLevel="0" collapsed="false">
      <c r="A352" s="20" t="n">
        <v>346</v>
      </c>
      <c r="B352" s="8"/>
      <c r="C352" s="5"/>
      <c r="D352" s="5"/>
      <c r="E352" s="5"/>
      <c r="F352" s="21" t="str">
        <f aca="false">IF($B352="","",$B352-$B351)</f>
        <v/>
      </c>
      <c r="G352" s="11" t="str">
        <f aca="false">IF($B352="","",IF($C352&lt;&gt;"",$C352,N($D352)+N($E352)))</f>
        <v/>
      </c>
      <c r="H352" s="11" t="str">
        <f aca="false">IF($B352="","",IF($E352&lt;&gt;"",$E352,$L351*Calculator!$B$5*$F352/Calculator!$B$7))</f>
        <v/>
      </c>
      <c r="I352" s="11" t="str">
        <f aca="false">IF($B352="","",$L351*Calculator!$B$6*$F352/Calculator!$B$7)</f>
        <v/>
      </c>
      <c r="J352" s="11" t="str">
        <f aca="false">IF($B352="","",MAX(0,$H352-$I352))</f>
        <v/>
      </c>
      <c r="K352" s="11" t="str">
        <f aca="false">IF($B352="","",IF($D352&lt;&gt;"",$D352,$G352-$H352))</f>
        <v/>
      </c>
      <c r="L352" s="11" t="str">
        <f aca="false">IF($B352="","",$L351-$K352)</f>
        <v/>
      </c>
      <c r="M352" s="5"/>
    </row>
    <row r="353" customFormat="false" ht="15" hidden="false" customHeight="false" outlineLevel="0" collapsed="false">
      <c r="A353" s="20" t="n">
        <v>347</v>
      </c>
      <c r="B353" s="8"/>
      <c r="C353" s="5"/>
      <c r="D353" s="5"/>
      <c r="E353" s="5"/>
      <c r="F353" s="21" t="str">
        <f aca="false">IF($B353="","",$B353-$B352)</f>
        <v/>
      </c>
      <c r="G353" s="11" t="str">
        <f aca="false">IF($B353="","",IF($C353&lt;&gt;"",$C353,N($D353)+N($E353)))</f>
        <v/>
      </c>
      <c r="H353" s="11" t="str">
        <f aca="false">IF($B353="","",IF($E353&lt;&gt;"",$E353,$L352*Calculator!$B$5*$F353/Calculator!$B$7))</f>
        <v/>
      </c>
      <c r="I353" s="11" t="str">
        <f aca="false">IF($B353="","",$L352*Calculator!$B$6*$F353/Calculator!$B$7)</f>
        <v/>
      </c>
      <c r="J353" s="11" t="str">
        <f aca="false">IF($B353="","",MAX(0,$H353-$I353))</f>
        <v/>
      </c>
      <c r="K353" s="11" t="str">
        <f aca="false">IF($B353="","",IF($D353&lt;&gt;"",$D353,$G353-$H353))</f>
        <v/>
      </c>
      <c r="L353" s="11" t="str">
        <f aca="false">IF($B353="","",$L352-$K353)</f>
        <v/>
      </c>
      <c r="M353" s="5"/>
    </row>
    <row r="354" customFormat="false" ht="15" hidden="false" customHeight="false" outlineLevel="0" collapsed="false">
      <c r="A354" s="20" t="n">
        <v>348</v>
      </c>
      <c r="B354" s="8"/>
      <c r="C354" s="5"/>
      <c r="D354" s="5"/>
      <c r="E354" s="5"/>
      <c r="F354" s="21" t="str">
        <f aca="false">IF($B354="","",$B354-$B353)</f>
        <v/>
      </c>
      <c r="G354" s="11" t="str">
        <f aca="false">IF($B354="","",IF($C354&lt;&gt;"",$C354,N($D354)+N($E354)))</f>
        <v/>
      </c>
      <c r="H354" s="11" t="str">
        <f aca="false">IF($B354="","",IF($E354&lt;&gt;"",$E354,$L353*Calculator!$B$5*$F354/Calculator!$B$7))</f>
        <v/>
      </c>
      <c r="I354" s="11" t="str">
        <f aca="false">IF($B354="","",$L353*Calculator!$B$6*$F354/Calculator!$B$7)</f>
        <v/>
      </c>
      <c r="J354" s="11" t="str">
        <f aca="false">IF($B354="","",MAX(0,$H354-$I354))</f>
        <v/>
      </c>
      <c r="K354" s="11" t="str">
        <f aca="false">IF($B354="","",IF($D354&lt;&gt;"",$D354,$G354-$H354))</f>
        <v/>
      </c>
      <c r="L354" s="11" t="str">
        <f aca="false">IF($B354="","",$L353-$K354)</f>
        <v/>
      </c>
      <c r="M354" s="5"/>
    </row>
    <row r="355" customFormat="false" ht="15" hidden="false" customHeight="false" outlineLevel="0" collapsed="false">
      <c r="A355" s="20" t="n">
        <v>349</v>
      </c>
      <c r="B355" s="8"/>
      <c r="C355" s="5"/>
      <c r="D355" s="5"/>
      <c r="E355" s="5"/>
      <c r="F355" s="21" t="str">
        <f aca="false">IF($B355="","",$B355-$B354)</f>
        <v/>
      </c>
      <c r="G355" s="11" t="str">
        <f aca="false">IF($B355="","",IF($C355&lt;&gt;"",$C355,N($D355)+N($E355)))</f>
        <v/>
      </c>
      <c r="H355" s="11" t="str">
        <f aca="false">IF($B355="","",IF($E355&lt;&gt;"",$E355,$L354*Calculator!$B$5*$F355/Calculator!$B$7))</f>
        <v/>
      </c>
      <c r="I355" s="11" t="str">
        <f aca="false">IF($B355="","",$L354*Calculator!$B$6*$F355/Calculator!$B$7)</f>
        <v/>
      </c>
      <c r="J355" s="11" t="str">
        <f aca="false">IF($B355="","",MAX(0,$H355-$I355))</f>
        <v/>
      </c>
      <c r="K355" s="11" t="str">
        <f aca="false">IF($B355="","",IF($D355&lt;&gt;"",$D355,$G355-$H355))</f>
        <v/>
      </c>
      <c r="L355" s="11" t="str">
        <f aca="false">IF($B355="","",$L354-$K355)</f>
        <v/>
      </c>
      <c r="M355" s="5"/>
    </row>
    <row r="356" customFormat="false" ht="15" hidden="false" customHeight="false" outlineLevel="0" collapsed="false">
      <c r="A356" s="20" t="n">
        <v>350</v>
      </c>
      <c r="B356" s="8"/>
      <c r="C356" s="5"/>
      <c r="D356" s="5"/>
      <c r="E356" s="5"/>
      <c r="F356" s="21" t="str">
        <f aca="false">IF($B356="","",$B356-$B355)</f>
        <v/>
      </c>
      <c r="G356" s="11" t="str">
        <f aca="false">IF($B356="","",IF($C356&lt;&gt;"",$C356,N($D356)+N($E356)))</f>
        <v/>
      </c>
      <c r="H356" s="11" t="str">
        <f aca="false">IF($B356="","",IF($E356&lt;&gt;"",$E356,$L355*Calculator!$B$5*$F356/Calculator!$B$7))</f>
        <v/>
      </c>
      <c r="I356" s="11" t="str">
        <f aca="false">IF($B356="","",$L355*Calculator!$B$6*$F356/Calculator!$B$7)</f>
        <v/>
      </c>
      <c r="J356" s="11" t="str">
        <f aca="false">IF($B356="","",MAX(0,$H356-$I356))</f>
        <v/>
      </c>
      <c r="K356" s="11" t="str">
        <f aca="false">IF($B356="","",IF($D356&lt;&gt;"",$D356,$G356-$H356))</f>
        <v/>
      </c>
      <c r="L356" s="11" t="str">
        <f aca="false">IF($B356="","",$L355-$K356)</f>
        <v/>
      </c>
      <c r="M356" s="5"/>
    </row>
    <row r="357" customFormat="false" ht="15" hidden="false" customHeight="false" outlineLevel="0" collapsed="false">
      <c r="A357" s="20" t="n">
        <v>351</v>
      </c>
      <c r="B357" s="8"/>
      <c r="C357" s="5"/>
      <c r="D357" s="5"/>
      <c r="E357" s="5"/>
      <c r="F357" s="21" t="str">
        <f aca="false">IF($B357="","",$B357-$B356)</f>
        <v/>
      </c>
      <c r="G357" s="11" t="str">
        <f aca="false">IF($B357="","",IF($C357&lt;&gt;"",$C357,N($D357)+N($E357)))</f>
        <v/>
      </c>
      <c r="H357" s="11" t="str">
        <f aca="false">IF($B357="","",IF($E357&lt;&gt;"",$E357,$L356*Calculator!$B$5*$F357/Calculator!$B$7))</f>
        <v/>
      </c>
      <c r="I357" s="11" t="str">
        <f aca="false">IF($B357="","",$L356*Calculator!$B$6*$F357/Calculator!$B$7)</f>
        <v/>
      </c>
      <c r="J357" s="11" t="str">
        <f aca="false">IF($B357="","",MAX(0,$H357-$I357))</f>
        <v/>
      </c>
      <c r="K357" s="11" t="str">
        <f aca="false">IF($B357="","",IF($D357&lt;&gt;"",$D357,$G357-$H357))</f>
        <v/>
      </c>
      <c r="L357" s="11" t="str">
        <f aca="false">IF($B357="","",$L356-$K357)</f>
        <v/>
      </c>
      <c r="M357" s="5"/>
    </row>
    <row r="358" customFormat="false" ht="15" hidden="false" customHeight="false" outlineLevel="0" collapsed="false">
      <c r="A358" s="20" t="n">
        <v>352</v>
      </c>
      <c r="B358" s="8"/>
      <c r="C358" s="5"/>
      <c r="D358" s="5"/>
      <c r="E358" s="5"/>
      <c r="F358" s="21" t="str">
        <f aca="false">IF($B358="","",$B358-$B357)</f>
        <v/>
      </c>
      <c r="G358" s="11" t="str">
        <f aca="false">IF($B358="","",IF($C358&lt;&gt;"",$C358,N($D358)+N($E358)))</f>
        <v/>
      </c>
      <c r="H358" s="11" t="str">
        <f aca="false">IF($B358="","",IF($E358&lt;&gt;"",$E358,$L357*Calculator!$B$5*$F358/Calculator!$B$7))</f>
        <v/>
      </c>
      <c r="I358" s="11" t="str">
        <f aca="false">IF($B358="","",$L357*Calculator!$B$6*$F358/Calculator!$B$7)</f>
        <v/>
      </c>
      <c r="J358" s="11" t="str">
        <f aca="false">IF($B358="","",MAX(0,$H358-$I358))</f>
        <v/>
      </c>
      <c r="K358" s="11" t="str">
        <f aca="false">IF($B358="","",IF($D358&lt;&gt;"",$D358,$G358-$H358))</f>
        <v/>
      </c>
      <c r="L358" s="11" t="str">
        <f aca="false">IF($B358="","",$L357-$K358)</f>
        <v/>
      </c>
      <c r="M358" s="5"/>
    </row>
    <row r="359" customFormat="false" ht="15" hidden="false" customHeight="false" outlineLevel="0" collapsed="false">
      <c r="A359" s="20" t="n">
        <v>353</v>
      </c>
      <c r="B359" s="8"/>
      <c r="C359" s="5"/>
      <c r="D359" s="5"/>
      <c r="E359" s="5"/>
      <c r="F359" s="21" t="str">
        <f aca="false">IF($B359="","",$B359-$B358)</f>
        <v/>
      </c>
      <c r="G359" s="11" t="str">
        <f aca="false">IF($B359="","",IF($C359&lt;&gt;"",$C359,N($D359)+N($E359)))</f>
        <v/>
      </c>
      <c r="H359" s="11" t="str">
        <f aca="false">IF($B359="","",IF($E359&lt;&gt;"",$E359,$L358*Calculator!$B$5*$F359/Calculator!$B$7))</f>
        <v/>
      </c>
      <c r="I359" s="11" t="str">
        <f aca="false">IF($B359="","",$L358*Calculator!$B$6*$F359/Calculator!$B$7)</f>
        <v/>
      </c>
      <c r="J359" s="11" t="str">
        <f aca="false">IF($B359="","",MAX(0,$H359-$I359))</f>
        <v/>
      </c>
      <c r="K359" s="11" t="str">
        <f aca="false">IF($B359="","",IF($D359&lt;&gt;"",$D359,$G359-$H359))</f>
        <v/>
      </c>
      <c r="L359" s="11" t="str">
        <f aca="false">IF($B359="","",$L358-$K359)</f>
        <v/>
      </c>
      <c r="M359" s="5"/>
    </row>
    <row r="360" customFormat="false" ht="15" hidden="false" customHeight="false" outlineLevel="0" collapsed="false">
      <c r="A360" s="20" t="n">
        <v>354</v>
      </c>
      <c r="B360" s="8"/>
      <c r="C360" s="5"/>
      <c r="D360" s="5"/>
      <c r="E360" s="5"/>
      <c r="F360" s="21" t="str">
        <f aca="false">IF($B360="","",$B360-$B359)</f>
        <v/>
      </c>
      <c r="G360" s="11" t="str">
        <f aca="false">IF($B360="","",IF($C360&lt;&gt;"",$C360,N($D360)+N($E360)))</f>
        <v/>
      </c>
      <c r="H360" s="11" t="str">
        <f aca="false">IF($B360="","",IF($E360&lt;&gt;"",$E360,$L359*Calculator!$B$5*$F360/Calculator!$B$7))</f>
        <v/>
      </c>
      <c r="I360" s="11" t="str">
        <f aca="false">IF($B360="","",$L359*Calculator!$B$6*$F360/Calculator!$B$7)</f>
        <v/>
      </c>
      <c r="J360" s="11" t="str">
        <f aca="false">IF($B360="","",MAX(0,$H360-$I360))</f>
        <v/>
      </c>
      <c r="K360" s="11" t="str">
        <f aca="false">IF($B360="","",IF($D360&lt;&gt;"",$D360,$G360-$H360))</f>
        <v/>
      </c>
      <c r="L360" s="11" t="str">
        <f aca="false">IF($B360="","",$L359-$K360)</f>
        <v/>
      </c>
      <c r="M360" s="5"/>
    </row>
    <row r="361" customFormat="false" ht="15" hidden="false" customHeight="false" outlineLevel="0" collapsed="false">
      <c r="A361" s="20" t="n">
        <v>355</v>
      </c>
      <c r="B361" s="8"/>
      <c r="C361" s="5"/>
      <c r="D361" s="5"/>
      <c r="E361" s="5"/>
      <c r="F361" s="21" t="str">
        <f aca="false">IF($B361="","",$B361-$B360)</f>
        <v/>
      </c>
      <c r="G361" s="11" t="str">
        <f aca="false">IF($B361="","",IF($C361&lt;&gt;"",$C361,N($D361)+N($E361)))</f>
        <v/>
      </c>
      <c r="H361" s="11" t="str">
        <f aca="false">IF($B361="","",IF($E361&lt;&gt;"",$E361,$L360*Calculator!$B$5*$F361/Calculator!$B$7))</f>
        <v/>
      </c>
      <c r="I361" s="11" t="str">
        <f aca="false">IF($B361="","",$L360*Calculator!$B$6*$F361/Calculator!$B$7)</f>
        <v/>
      </c>
      <c r="J361" s="11" t="str">
        <f aca="false">IF($B361="","",MAX(0,$H361-$I361))</f>
        <v/>
      </c>
      <c r="K361" s="11" t="str">
        <f aca="false">IF($B361="","",IF($D361&lt;&gt;"",$D361,$G361-$H361))</f>
        <v/>
      </c>
      <c r="L361" s="11" t="str">
        <f aca="false">IF($B361="","",$L360-$K361)</f>
        <v/>
      </c>
      <c r="M361" s="5"/>
    </row>
    <row r="362" customFormat="false" ht="15" hidden="false" customHeight="false" outlineLevel="0" collapsed="false">
      <c r="A362" s="20" t="n">
        <v>356</v>
      </c>
      <c r="B362" s="8"/>
      <c r="C362" s="5"/>
      <c r="D362" s="5"/>
      <c r="E362" s="5"/>
      <c r="F362" s="21" t="str">
        <f aca="false">IF($B362="","",$B362-$B361)</f>
        <v/>
      </c>
      <c r="G362" s="11" t="str">
        <f aca="false">IF($B362="","",IF($C362&lt;&gt;"",$C362,N($D362)+N($E362)))</f>
        <v/>
      </c>
      <c r="H362" s="11" t="str">
        <f aca="false">IF($B362="","",IF($E362&lt;&gt;"",$E362,$L361*Calculator!$B$5*$F362/Calculator!$B$7))</f>
        <v/>
      </c>
      <c r="I362" s="11" t="str">
        <f aca="false">IF($B362="","",$L361*Calculator!$B$6*$F362/Calculator!$B$7)</f>
        <v/>
      </c>
      <c r="J362" s="11" t="str">
        <f aca="false">IF($B362="","",MAX(0,$H362-$I362))</f>
        <v/>
      </c>
      <c r="K362" s="11" t="str">
        <f aca="false">IF($B362="","",IF($D362&lt;&gt;"",$D362,$G362-$H362))</f>
        <v/>
      </c>
      <c r="L362" s="11" t="str">
        <f aca="false">IF($B362="","",$L361-$K362)</f>
        <v/>
      </c>
      <c r="M362" s="5"/>
    </row>
    <row r="363" customFormat="false" ht="15" hidden="false" customHeight="false" outlineLevel="0" collapsed="false">
      <c r="A363" s="20" t="n">
        <v>357</v>
      </c>
      <c r="B363" s="8"/>
      <c r="C363" s="5"/>
      <c r="D363" s="5"/>
      <c r="E363" s="5"/>
      <c r="F363" s="21" t="str">
        <f aca="false">IF($B363="","",$B363-$B362)</f>
        <v/>
      </c>
      <c r="G363" s="11" t="str">
        <f aca="false">IF($B363="","",IF($C363&lt;&gt;"",$C363,N($D363)+N($E363)))</f>
        <v/>
      </c>
      <c r="H363" s="11" t="str">
        <f aca="false">IF($B363="","",IF($E363&lt;&gt;"",$E363,$L362*Calculator!$B$5*$F363/Calculator!$B$7))</f>
        <v/>
      </c>
      <c r="I363" s="11" t="str">
        <f aca="false">IF($B363="","",$L362*Calculator!$B$6*$F363/Calculator!$B$7)</f>
        <v/>
      </c>
      <c r="J363" s="11" t="str">
        <f aca="false">IF($B363="","",MAX(0,$H363-$I363))</f>
        <v/>
      </c>
      <c r="K363" s="11" t="str">
        <f aca="false">IF($B363="","",IF($D363&lt;&gt;"",$D363,$G363-$H363))</f>
        <v/>
      </c>
      <c r="L363" s="11" t="str">
        <f aca="false">IF($B363="","",$L362-$K363)</f>
        <v/>
      </c>
      <c r="M363" s="5"/>
    </row>
    <row r="364" customFormat="false" ht="15" hidden="false" customHeight="false" outlineLevel="0" collapsed="false">
      <c r="A364" s="20" t="n">
        <v>358</v>
      </c>
      <c r="B364" s="8"/>
      <c r="C364" s="5"/>
      <c r="D364" s="5"/>
      <c r="E364" s="5"/>
      <c r="F364" s="21" t="str">
        <f aca="false">IF($B364="","",$B364-$B363)</f>
        <v/>
      </c>
      <c r="G364" s="11" t="str">
        <f aca="false">IF($B364="","",IF($C364&lt;&gt;"",$C364,N($D364)+N($E364)))</f>
        <v/>
      </c>
      <c r="H364" s="11" t="str">
        <f aca="false">IF($B364="","",IF($E364&lt;&gt;"",$E364,$L363*Calculator!$B$5*$F364/Calculator!$B$7))</f>
        <v/>
      </c>
      <c r="I364" s="11" t="str">
        <f aca="false">IF($B364="","",$L363*Calculator!$B$6*$F364/Calculator!$B$7)</f>
        <v/>
      </c>
      <c r="J364" s="11" t="str">
        <f aca="false">IF($B364="","",MAX(0,$H364-$I364))</f>
        <v/>
      </c>
      <c r="K364" s="11" t="str">
        <f aca="false">IF($B364="","",IF($D364&lt;&gt;"",$D364,$G364-$H364))</f>
        <v/>
      </c>
      <c r="L364" s="11" t="str">
        <f aca="false">IF($B364="","",$L363-$K364)</f>
        <v/>
      </c>
      <c r="M364" s="5"/>
    </row>
    <row r="365" customFormat="false" ht="15" hidden="false" customHeight="false" outlineLevel="0" collapsed="false">
      <c r="A365" s="20" t="n">
        <v>359</v>
      </c>
      <c r="B365" s="8"/>
      <c r="C365" s="5"/>
      <c r="D365" s="5"/>
      <c r="E365" s="5"/>
      <c r="F365" s="21" t="str">
        <f aca="false">IF($B365="","",$B365-$B364)</f>
        <v/>
      </c>
      <c r="G365" s="11" t="str">
        <f aca="false">IF($B365="","",IF($C365&lt;&gt;"",$C365,N($D365)+N($E365)))</f>
        <v/>
      </c>
      <c r="H365" s="11" t="str">
        <f aca="false">IF($B365="","",IF($E365&lt;&gt;"",$E365,$L364*Calculator!$B$5*$F365/Calculator!$B$7))</f>
        <v/>
      </c>
      <c r="I365" s="11" t="str">
        <f aca="false">IF($B365="","",$L364*Calculator!$B$6*$F365/Calculator!$B$7)</f>
        <v/>
      </c>
      <c r="J365" s="11" t="str">
        <f aca="false">IF($B365="","",MAX(0,$H365-$I365))</f>
        <v/>
      </c>
      <c r="K365" s="11" t="str">
        <f aca="false">IF($B365="","",IF($D365&lt;&gt;"",$D365,$G365-$H365))</f>
        <v/>
      </c>
      <c r="L365" s="11" t="str">
        <f aca="false">IF($B365="","",$L364-$K365)</f>
        <v/>
      </c>
      <c r="M365" s="5"/>
    </row>
    <row r="366" customFormat="false" ht="15" hidden="false" customHeight="false" outlineLevel="0" collapsed="false">
      <c r="A366" s="20" t="n">
        <v>360</v>
      </c>
      <c r="B366" s="8"/>
      <c r="C366" s="5"/>
      <c r="D366" s="5"/>
      <c r="E366" s="5"/>
      <c r="F366" s="21" t="str">
        <f aca="false">IF($B366="","",$B366-$B365)</f>
        <v/>
      </c>
      <c r="G366" s="11" t="str">
        <f aca="false">IF($B366="","",IF($C366&lt;&gt;"",$C366,N($D366)+N($E366)))</f>
        <v/>
      </c>
      <c r="H366" s="11" t="str">
        <f aca="false">IF($B366="","",IF($E366&lt;&gt;"",$E366,$L365*Calculator!$B$5*$F366/Calculator!$B$7))</f>
        <v/>
      </c>
      <c r="I366" s="11" t="str">
        <f aca="false">IF($B366="","",$L365*Calculator!$B$6*$F366/Calculator!$B$7)</f>
        <v/>
      </c>
      <c r="J366" s="11" t="str">
        <f aca="false">IF($B366="","",MAX(0,$H366-$I366))</f>
        <v/>
      </c>
      <c r="K366" s="11" t="str">
        <f aca="false">IF($B366="","",IF($D366&lt;&gt;"",$D366,$G366-$H366))</f>
        <v/>
      </c>
      <c r="L366" s="11" t="str">
        <f aca="false">IF($B366="","",$L365-$K366)</f>
        <v/>
      </c>
      <c r="M366" s="5"/>
    </row>
    <row r="367" customFormat="false" ht="15" hidden="false" customHeight="false" outlineLevel="0" collapsed="false">
      <c r="A367" s="20" t="n">
        <v>361</v>
      </c>
      <c r="B367" s="8"/>
      <c r="C367" s="5"/>
      <c r="D367" s="5"/>
      <c r="E367" s="5"/>
      <c r="F367" s="21" t="str">
        <f aca="false">IF($B367="","",$B367-$B366)</f>
        <v/>
      </c>
      <c r="G367" s="11" t="str">
        <f aca="false">IF($B367="","",IF($C367&lt;&gt;"",$C367,N($D367)+N($E367)))</f>
        <v/>
      </c>
      <c r="H367" s="11" t="str">
        <f aca="false">IF($B367="","",IF($E367&lt;&gt;"",$E367,$L366*Calculator!$B$5*$F367/Calculator!$B$7))</f>
        <v/>
      </c>
      <c r="I367" s="11" t="str">
        <f aca="false">IF($B367="","",$L366*Calculator!$B$6*$F367/Calculator!$B$7)</f>
        <v/>
      </c>
      <c r="J367" s="11" t="str">
        <f aca="false">IF($B367="","",MAX(0,$H367-$I367))</f>
        <v/>
      </c>
      <c r="K367" s="11" t="str">
        <f aca="false">IF($B367="","",IF($D367&lt;&gt;"",$D367,$G367-$H367))</f>
        <v/>
      </c>
      <c r="L367" s="11" t="str">
        <f aca="false">IF($B367="","",$L366-$K367)</f>
        <v/>
      </c>
      <c r="M367" s="5"/>
    </row>
    <row r="368" customFormat="false" ht="15" hidden="false" customHeight="false" outlineLevel="0" collapsed="false">
      <c r="A368" s="20" t="n">
        <v>362</v>
      </c>
      <c r="B368" s="8"/>
      <c r="C368" s="5"/>
      <c r="D368" s="5"/>
      <c r="E368" s="5"/>
      <c r="F368" s="21" t="str">
        <f aca="false">IF($B368="","",$B368-$B367)</f>
        <v/>
      </c>
      <c r="G368" s="11" t="str">
        <f aca="false">IF($B368="","",IF($C368&lt;&gt;"",$C368,N($D368)+N($E368)))</f>
        <v/>
      </c>
      <c r="H368" s="11" t="str">
        <f aca="false">IF($B368="","",IF($E368&lt;&gt;"",$E368,$L367*Calculator!$B$5*$F368/Calculator!$B$7))</f>
        <v/>
      </c>
      <c r="I368" s="11" t="str">
        <f aca="false">IF($B368="","",$L367*Calculator!$B$6*$F368/Calculator!$B$7)</f>
        <v/>
      </c>
      <c r="J368" s="11" t="str">
        <f aca="false">IF($B368="","",MAX(0,$H368-$I368))</f>
        <v/>
      </c>
      <c r="K368" s="11" t="str">
        <f aca="false">IF($B368="","",IF($D368&lt;&gt;"",$D368,$G368-$H368))</f>
        <v/>
      </c>
      <c r="L368" s="11" t="str">
        <f aca="false">IF($B368="","",$L367-$K368)</f>
        <v/>
      </c>
      <c r="M368" s="5"/>
    </row>
    <row r="369" customFormat="false" ht="15" hidden="false" customHeight="false" outlineLevel="0" collapsed="false">
      <c r="A369" s="20" t="n">
        <v>363</v>
      </c>
      <c r="B369" s="8"/>
      <c r="C369" s="5"/>
      <c r="D369" s="5"/>
      <c r="E369" s="5"/>
      <c r="F369" s="21" t="str">
        <f aca="false">IF($B369="","",$B369-$B368)</f>
        <v/>
      </c>
      <c r="G369" s="11" t="str">
        <f aca="false">IF($B369="","",IF($C369&lt;&gt;"",$C369,N($D369)+N($E369)))</f>
        <v/>
      </c>
      <c r="H369" s="11" t="str">
        <f aca="false">IF($B369="","",IF($E369&lt;&gt;"",$E369,$L368*Calculator!$B$5*$F369/Calculator!$B$7))</f>
        <v/>
      </c>
      <c r="I369" s="11" t="str">
        <f aca="false">IF($B369="","",$L368*Calculator!$B$6*$F369/Calculator!$B$7)</f>
        <v/>
      </c>
      <c r="J369" s="11" t="str">
        <f aca="false">IF($B369="","",MAX(0,$H369-$I369))</f>
        <v/>
      </c>
      <c r="K369" s="11" t="str">
        <f aca="false">IF($B369="","",IF($D369&lt;&gt;"",$D369,$G369-$H369))</f>
        <v/>
      </c>
      <c r="L369" s="11" t="str">
        <f aca="false">IF($B369="","",$L368-$K369)</f>
        <v/>
      </c>
      <c r="M369" s="5"/>
    </row>
    <row r="370" customFormat="false" ht="15" hidden="false" customHeight="false" outlineLevel="0" collapsed="false">
      <c r="A370" s="20" t="n">
        <v>364</v>
      </c>
      <c r="B370" s="8"/>
      <c r="C370" s="5"/>
      <c r="D370" s="5"/>
      <c r="E370" s="5"/>
      <c r="F370" s="21" t="str">
        <f aca="false">IF($B370="","",$B370-$B369)</f>
        <v/>
      </c>
      <c r="G370" s="11" t="str">
        <f aca="false">IF($B370="","",IF($C370&lt;&gt;"",$C370,N($D370)+N($E370)))</f>
        <v/>
      </c>
      <c r="H370" s="11" t="str">
        <f aca="false">IF($B370="","",IF($E370&lt;&gt;"",$E370,$L369*Calculator!$B$5*$F370/Calculator!$B$7))</f>
        <v/>
      </c>
      <c r="I370" s="11" t="str">
        <f aca="false">IF($B370="","",$L369*Calculator!$B$6*$F370/Calculator!$B$7)</f>
        <v/>
      </c>
      <c r="J370" s="11" t="str">
        <f aca="false">IF($B370="","",MAX(0,$H370-$I370))</f>
        <v/>
      </c>
      <c r="K370" s="11" t="str">
        <f aca="false">IF($B370="","",IF($D370&lt;&gt;"",$D370,$G370-$H370))</f>
        <v/>
      </c>
      <c r="L370" s="11" t="str">
        <f aca="false">IF($B370="","",$L369-$K370)</f>
        <v/>
      </c>
      <c r="M370" s="5"/>
    </row>
    <row r="371" customFormat="false" ht="15" hidden="false" customHeight="false" outlineLevel="0" collapsed="false">
      <c r="A371" s="20" t="n">
        <v>365</v>
      </c>
      <c r="B371" s="8"/>
      <c r="C371" s="5"/>
      <c r="D371" s="5"/>
      <c r="E371" s="5"/>
      <c r="F371" s="21" t="str">
        <f aca="false">IF($B371="","",$B371-$B370)</f>
        <v/>
      </c>
      <c r="G371" s="11" t="str">
        <f aca="false">IF($B371="","",IF($C371&lt;&gt;"",$C371,N($D371)+N($E371)))</f>
        <v/>
      </c>
      <c r="H371" s="11" t="str">
        <f aca="false">IF($B371="","",IF($E371&lt;&gt;"",$E371,$L370*Calculator!$B$5*$F371/Calculator!$B$7))</f>
        <v/>
      </c>
      <c r="I371" s="11" t="str">
        <f aca="false">IF($B371="","",$L370*Calculator!$B$6*$F371/Calculator!$B$7)</f>
        <v/>
      </c>
      <c r="J371" s="11" t="str">
        <f aca="false">IF($B371="","",MAX(0,$H371-$I371))</f>
        <v/>
      </c>
      <c r="K371" s="11" t="str">
        <f aca="false">IF($B371="","",IF($D371&lt;&gt;"",$D371,$G371-$H371))</f>
        <v/>
      </c>
      <c r="L371" s="11" t="str">
        <f aca="false">IF($B371="","",$L370-$K371)</f>
        <v/>
      </c>
      <c r="M371" s="5"/>
    </row>
    <row r="372" customFormat="false" ht="15" hidden="false" customHeight="false" outlineLevel="0" collapsed="false">
      <c r="A372" s="20" t="n">
        <v>366</v>
      </c>
      <c r="B372" s="8"/>
      <c r="C372" s="5"/>
      <c r="D372" s="5"/>
      <c r="E372" s="5"/>
      <c r="F372" s="21" t="str">
        <f aca="false">IF($B372="","",$B372-$B371)</f>
        <v/>
      </c>
      <c r="G372" s="11" t="str">
        <f aca="false">IF($B372="","",IF($C372&lt;&gt;"",$C372,N($D372)+N($E372)))</f>
        <v/>
      </c>
      <c r="H372" s="11" t="str">
        <f aca="false">IF($B372="","",IF($E372&lt;&gt;"",$E372,$L371*Calculator!$B$5*$F372/Calculator!$B$7))</f>
        <v/>
      </c>
      <c r="I372" s="11" t="str">
        <f aca="false">IF($B372="","",$L371*Calculator!$B$6*$F372/Calculator!$B$7)</f>
        <v/>
      </c>
      <c r="J372" s="11" t="str">
        <f aca="false">IF($B372="","",MAX(0,$H372-$I372))</f>
        <v/>
      </c>
      <c r="K372" s="11" t="str">
        <f aca="false">IF($B372="","",IF($D372&lt;&gt;"",$D372,$G372-$H372))</f>
        <v/>
      </c>
      <c r="L372" s="11" t="str">
        <f aca="false">IF($B372="","",$L371-$K372)</f>
        <v/>
      </c>
      <c r="M372" s="5"/>
    </row>
    <row r="373" customFormat="false" ht="15" hidden="false" customHeight="false" outlineLevel="0" collapsed="false">
      <c r="A373" s="20" t="n">
        <v>367</v>
      </c>
      <c r="B373" s="8"/>
      <c r="C373" s="5"/>
      <c r="D373" s="5"/>
      <c r="E373" s="5"/>
      <c r="F373" s="21" t="str">
        <f aca="false">IF($B373="","",$B373-$B372)</f>
        <v/>
      </c>
      <c r="G373" s="11" t="str">
        <f aca="false">IF($B373="","",IF($C373&lt;&gt;"",$C373,N($D373)+N($E373)))</f>
        <v/>
      </c>
      <c r="H373" s="11" t="str">
        <f aca="false">IF($B373="","",IF($E373&lt;&gt;"",$E373,$L372*Calculator!$B$5*$F373/Calculator!$B$7))</f>
        <v/>
      </c>
      <c r="I373" s="11" t="str">
        <f aca="false">IF($B373="","",$L372*Calculator!$B$6*$F373/Calculator!$B$7)</f>
        <v/>
      </c>
      <c r="J373" s="11" t="str">
        <f aca="false">IF($B373="","",MAX(0,$H373-$I373))</f>
        <v/>
      </c>
      <c r="K373" s="11" t="str">
        <f aca="false">IF($B373="","",IF($D373&lt;&gt;"",$D373,$G373-$H373))</f>
        <v/>
      </c>
      <c r="L373" s="11" t="str">
        <f aca="false">IF($B373="","",$L372-$K373)</f>
        <v/>
      </c>
      <c r="M373" s="5"/>
    </row>
    <row r="374" customFormat="false" ht="15" hidden="false" customHeight="false" outlineLevel="0" collapsed="false">
      <c r="A374" s="20" t="n">
        <v>368</v>
      </c>
      <c r="B374" s="8"/>
      <c r="C374" s="5"/>
      <c r="D374" s="5"/>
      <c r="E374" s="5"/>
      <c r="F374" s="21" t="str">
        <f aca="false">IF($B374="","",$B374-$B373)</f>
        <v/>
      </c>
      <c r="G374" s="11" t="str">
        <f aca="false">IF($B374="","",IF($C374&lt;&gt;"",$C374,N($D374)+N($E374)))</f>
        <v/>
      </c>
      <c r="H374" s="11" t="str">
        <f aca="false">IF($B374="","",IF($E374&lt;&gt;"",$E374,$L373*Calculator!$B$5*$F374/Calculator!$B$7))</f>
        <v/>
      </c>
      <c r="I374" s="11" t="str">
        <f aca="false">IF($B374="","",$L373*Calculator!$B$6*$F374/Calculator!$B$7)</f>
        <v/>
      </c>
      <c r="J374" s="11" t="str">
        <f aca="false">IF($B374="","",MAX(0,$H374-$I374))</f>
        <v/>
      </c>
      <c r="K374" s="11" t="str">
        <f aca="false">IF($B374="","",IF($D374&lt;&gt;"",$D374,$G374-$H374))</f>
        <v/>
      </c>
      <c r="L374" s="11" t="str">
        <f aca="false">IF($B374="","",$L373-$K374)</f>
        <v/>
      </c>
      <c r="M374" s="5"/>
    </row>
    <row r="375" customFormat="false" ht="15" hidden="false" customHeight="false" outlineLevel="0" collapsed="false">
      <c r="A375" s="20" t="n">
        <v>369</v>
      </c>
      <c r="B375" s="8"/>
      <c r="C375" s="5"/>
      <c r="D375" s="5"/>
      <c r="E375" s="5"/>
      <c r="F375" s="21" t="str">
        <f aca="false">IF($B375="","",$B375-$B374)</f>
        <v/>
      </c>
      <c r="G375" s="11" t="str">
        <f aca="false">IF($B375="","",IF($C375&lt;&gt;"",$C375,N($D375)+N($E375)))</f>
        <v/>
      </c>
      <c r="H375" s="11" t="str">
        <f aca="false">IF($B375="","",IF($E375&lt;&gt;"",$E375,$L374*Calculator!$B$5*$F375/Calculator!$B$7))</f>
        <v/>
      </c>
      <c r="I375" s="11" t="str">
        <f aca="false">IF($B375="","",$L374*Calculator!$B$6*$F375/Calculator!$B$7)</f>
        <v/>
      </c>
      <c r="J375" s="11" t="str">
        <f aca="false">IF($B375="","",MAX(0,$H375-$I375))</f>
        <v/>
      </c>
      <c r="K375" s="11" t="str">
        <f aca="false">IF($B375="","",IF($D375&lt;&gt;"",$D375,$G375-$H375))</f>
        <v/>
      </c>
      <c r="L375" s="11" t="str">
        <f aca="false">IF($B375="","",$L374-$K375)</f>
        <v/>
      </c>
      <c r="M375" s="5"/>
    </row>
    <row r="376" customFormat="false" ht="15" hidden="false" customHeight="false" outlineLevel="0" collapsed="false">
      <c r="A376" s="20" t="n">
        <v>370</v>
      </c>
      <c r="B376" s="8"/>
      <c r="C376" s="5"/>
      <c r="D376" s="5"/>
      <c r="E376" s="5"/>
      <c r="F376" s="21" t="str">
        <f aca="false">IF($B376="","",$B376-$B375)</f>
        <v/>
      </c>
      <c r="G376" s="11" t="str">
        <f aca="false">IF($B376="","",IF($C376&lt;&gt;"",$C376,N($D376)+N($E376)))</f>
        <v/>
      </c>
      <c r="H376" s="11" t="str">
        <f aca="false">IF($B376="","",IF($E376&lt;&gt;"",$E376,$L375*Calculator!$B$5*$F376/Calculator!$B$7))</f>
        <v/>
      </c>
      <c r="I376" s="11" t="str">
        <f aca="false">IF($B376="","",$L375*Calculator!$B$6*$F376/Calculator!$B$7)</f>
        <v/>
      </c>
      <c r="J376" s="11" t="str">
        <f aca="false">IF($B376="","",MAX(0,$H376-$I376))</f>
        <v/>
      </c>
      <c r="K376" s="11" t="str">
        <f aca="false">IF($B376="","",IF($D376&lt;&gt;"",$D376,$G376-$H376))</f>
        <v/>
      </c>
      <c r="L376" s="11" t="str">
        <f aca="false">IF($B376="","",$L375-$K376)</f>
        <v/>
      </c>
      <c r="M376" s="5"/>
    </row>
    <row r="377" customFormat="false" ht="15" hidden="false" customHeight="false" outlineLevel="0" collapsed="false">
      <c r="A377" s="20" t="n">
        <v>371</v>
      </c>
      <c r="B377" s="8"/>
      <c r="C377" s="5"/>
      <c r="D377" s="5"/>
      <c r="E377" s="5"/>
      <c r="F377" s="21" t="str">
        <f aca="false">IF($B377="","",$B377-$B376)</f>
        <v/>
      </c>
      <c r="G377" s="11" t="str">
        <f aca="false">IF($B377="","",IF($C377&lt;&gt;"",$C377,N($D377)+N($E377)))</f>
        <v/>
      </c>
      <c r="H377" s="11" t="str">
        <f aca="false">IF($B377="","",IF($E377&lt;&gt;"",$E377,$L376*Calculator!$B$5*$F377/Calculator!$B$7))</f>
        <v/>
      </c>
      <c r="I377" s="11" t="str">
        <f aca="false">IF($B377="","",$L376*Calculator!$B$6*$F377/Calculator!$B$7)</f>
        <v/>
      </c>
      <c r="J377" s="11" t="str">
        <f aca="false">IF($B377="","",MAX(0,$H377-$I377))</f>
        <v/>
      </c>
      <c r="K377" s="11" t="str">
        <f aca="false">IF($B377="","",IF($D377&lt;&gt;"",$D377,$G377-$H377))</f>
        <v/>
      </c>
      <c r="L377" s="11" t="str">
        <f aca="false">IF($B377="","",$L376-$K377)</f>
        <v/>
      </c>
      <c r="M377" s="5"/>
    </row>
    <row r="378" customFormat="false" ht="15" hidden="false" customHeight="false" outlineLevel="0" collapsed="false">
      <c r="A378" s="20" t="n">
        <v>372</v>
      </c>
      <c r="B378" s="8"/>
      <c r="C378" s="5"/>
      <c r="D378" s="5"/>
      <c r="E378" s="5"/>
      <c r="F378" s="21" t="str">
        <f aca="false">IF($B378="","",$B378-$B377)</f>
        <v/>
      </c>
      <c r="G378" s="11" t="str">
        <f aca="false">IF($B378="","",IF($C378&lt;&gt;"",$C378,N($D378)+N($E378)))</f>
        <v/>
      </c>
      <c r="H378" s="11" t="str">
        <f aca="false">IF($B378="","",IF($E378&lt;&gt;"",$E378,$L377*Calculator!$B$5*$F378/Calculator!$B$7))</f>
        <v/>
      </c>
      <c r="I378" s="11" t="str">
        <f aca="false">IF($B378="","",$L377*Calculator!$B$6*$F378/Calculator!$B$7)</f>
        <v/>
      </c>
      <c r="J378" s="11" t="str">
        <f aca="false">IF($B378="","",MAX(0,$H378-$I378))</f>
        <v/>
      </c>
      <c r="K378" s="11" t="str">
        <f aca="false">IF($B378="","",IF($D378&lt;&gt;"",$D378,$G378-$H378))</f>
        <v/>
      </c>
      <c r="L378" s="11" t="str">
        <f aca="false">IF($B378="","",$L377-$K378)</f>
        <v/>
      </c>
      <c r="M378" s="5"/>
    </row>
    <row r="379" customFormat="false" ht="15" hidden="false" customHeight="false" outlineLevel="0" collapsed="false">
      <c r="A379" s="20" t="n">
        <v>373</v>
      </c>
      <c r="B379" s="8"/>
      <c r="C379" s="5"/>
      <c r="D379" s="5"/>
      <c r="E379" s="5"/>
      <c r="F379" s="21" t="str">
        <f aca="false">IF($B379="","",$B379-$B378)</f>
        <v/>
      </c>
      <c r="G379" s="11" t="str">
        <f aca="false">IF($B379="","",IF($C379&lt;&gt;"",$C379,N($D379)+N($E379)))</f>
        <v/>
      </c>
      <c r="H379" s="11" t="str">
        <f aca="false">IF($B379="","",IF($E379&lt;&gt;"",$E379,$L378*Calculator!$B$5*$F379/Calculator!$B$7))</f>
        <v/>
      </c>
      <c r="I379" s="11" t="str">
        <f aca="false">IF($B379="","",$L378*Calculator!$B$6*$F379/Calculator!$B$7)</f>
        <v/>
      </c>
      <c r="J379" s="11" t="str">
        <f aca="false">IF($B379="","",MAX(0,$H379-$I379))</f>
        <v/>
      </c>
      <c r="K379" s="11" t="str">
        <f aca="false">IF($B379="","",IF($D379&lt;&gt;"",$D379,$G379-$H379))</f>
        <v/>
      </c>
      <c r="L379" s="11" t="str">
        <f aca="false">IF($B379="","",$L378-$K379)</f>
        <v/>
      </c>
      <c r="M379" s="5"/>
    </row>
    <row r="380" customFormat="false" ht="15" hidden="false" customHeight="false" outlineLevel="0" collapsed="false">
      <c r="A380" s="20" t="n">
        <v>374</v>
      </c>
      <c r="B380" s="8"/>
      <c r="C380" s="5"/>
      <c r="D380" s="5"/>
      <c r="E380" s="5"/>
      <c r="F380" s="21" t="str">
        <f aca="false">IF($B380="","",$B380-$B379)</f>
        <v/>
      </c>
      <c r="G380" s="11" t="str">
        <f aca="false">IF($B380="","",IF($C380&lt;&gt;"",$C380,N($D380)+N($E380)))</f>
        <v/>
      </c>
      <c r="H380" s="11" t="str">
        <f aca="false">IF($B380="","",IF($E380&lt;&gt;"",$E380,$L379*Calculator!$B$5*$F380/Calculator!$B$7))</f>
        <v/>
      </c>
      <c r="I380" s="11" t="str">
        <f aca="false">IF($B380="","",$L379*Calculator!$B$6*$F380/Calculator!$B$7)</f>
        <v/>
      </c>
      <c r="J380" s="11" t="str">
        <f aca="false">IF($B380="","",MAX(0,$H380-$I380))</f>
        <v/>
      </c>
      <c r="K380" s="11" t="str">
        <f aca="false">IF($B380="","",IF($D380&lt;&gt;"",$D380,$G380-$H380))</f>
        <v/>
      </c>
      <c r="L380" s="11" t="str">
        <f aca="false">IF($B380="","",$L379-$K380)</f>
        <v/>
      </c>
      <c r="M380" s="5"/>
    </row>
    <row r="381" customFormat="false" ht="15" hidden="false" customHeight="false" outlineLevel="0" collapsed="false">
      <c r="A381" s="20" t="n">
        <v>375</v>
      </c>
      <c r="B381" s="8"/>
      <c r="C381" s="5"/>
      <c r="D381" s="5"/>
      <c r="E381" s="5"/>
      <c r="F381" s="21" t="str">
        <f aca="false">IF($B381="","",$B381-$B380)</f>
        <v/>
      </c>
      <c r="G381" s="11" t="str">
        <f aca="false">IF($B381="","",IF($C381&lt;&gt;"",$C381,N($D381)+N($E381)))</f>
        <v/>
      </c>
      <c r="H381" s="11" t="str">
        <f aca="false">IF($B381="","",IF($E381&lt;&gt;"",$E381,$L380*Calculator!$B$5*$F381/Calculator!$B$7))</f>
        <v/>
      </c>
      <c r="I381" s="11" t="str">
        <f aca="false">IF($B381="","",$L380*Calculator!$B$6*$F381/Calculator!$B$7)</f>
        <v/>
      </c>
      <c r="J381" s="11" t="str">
        <f aca="false">IF($B381="","",MAX(0,$H381-$I381))</f>
        <v/>
      </c>
      <c r="K381" s="11" t="str">
        <f aca="false">IF($B381="","",IF($D381&lt;&gt;"",$D381,$G381-$H381))</f>
        <v/>
      </c>
      <c r="L381" s="11" t="str">
        <f aca="false">IF($B381="","",$L380-$K381)</f>
        <v/>
      </c>
      <c r="M381" s="5"/>
    </row>
    <row r="382" customFormat="false" ht="15" hidden="false" customHeight="false" outlineLevel="0" collapsed="false">
      <c r="A382" s="20" t="n">
        <v>376</v>
      </c>
      <c r="B382" s="8"/>
      <c r="C382" s="5"/>
      <c r="D382" s="5"/>
      <c r="E382" s="5"/>
      <c r="F382" s="21" t="str">
        <f aca="false">IF($B382="","",$B382-$B381)</f>
        <v/>
      </c>
      <c r="G382" s="11" t="str">
        <f aca="false">IF($B382="","",IF($C382&lt;&gt;"",$C382,N($D382)+N($E382)))</f>
        <v/>
      </c>
      <c r="H382" s="11" t="str">
        <f aca="false">IF($B382="","",IF($E382&lt;&gt;"",$E382,$L381*Calculator!$B$5*$F382/Calculator!$B$7))</f>
        <v/>
      </c>
      <c r="I382" s="11" t="str">
        <f aca="false">IF($B382="","",$L381*Calculator!$B$6*$F382/Calculator!$B$7)</f>
        <v/>
      </c>
      <c r="J382" s="11" t="str">
        <f aca="false">IF($B382="","",MAX(0,$H382-$I382))</f>
        <v/>
      </c>
      <c r="K382" s="11" t="str">
        <f aca="false">IF($B382="","",IF($D382&lt;&gt;"",$D382,$G382-$H382))</f>
        <v/>
      </c>
      <c r="L382" s="11" t="str">
        <f aca="false">IF($B382="","",$L381-$K382)</f>
        <v/>
      </c>
      <c r="M382" s="5"/>
    </row>
    <row r="383" customFormat="false" ht="15" hidden="false" customHeight="false" outlineLevel="0" collapsed="false">
      <c r="A383" s="20" t="n">
        <v>377</v>
      </c>
      <c r="B383" s="8"/>
      <c r="C383" s="5"/>
      <c r="D383" s="5"/>
      <c r="E383" s="5"/>
      <c r="F383" s="21" t="str">
        <f aca="false">IF($B383="","",$B383-$B382)</f>
        <v/>
      </c>
      <c r="G383" s="11" t="str">
        <f aca="false">IF($B383="","",IF($C383&lt;&gt;"",$C383,N($D383)+N($E383)))</f>
        <v/>
      </c>
      <c r="H383" s="11" t="str">
        <f aca="false">IF($B383="","",IF($E383&lt;&gt;"",$E383,$L382*Calculator!$B$5*$F383/Calculator!$B$7))</f>
        <v/>
      </c>
      <c r="I383" s="11" t="str">
        <f aca="false">IF($B383="","",$L382*Calculator!$B$6*$F383/Calculator!$B$7)</f>
        <v/>
      </c>
      <c r="J383" s="11" t="str">
        <f aca="false">IF($B383="","",MAX(0,$H383-$I383))</f>
        <v/>
      </c>
      <c r="K383" s="11" t="str">
        <f aca="false">IF($B383="","",IF($D383&lt;&gt;"",$D383,$G383-$H383))</f>
        <v/>
      </c>
      <c r="L383" s="11" t="str">
        <f aca="false">IF($B383="","",$L382-$K383)</f>
        <v/>
      </c>
      <c r="M383" s="5"/>
    </row>
    <row r="384" customFormat="false" ht="15" hidden="false" customHeight="false" outlineLevel="0" collapsed="false">
      <c r="A384" s="20" t="n">
        <v>378</v>
      </c>
      <c r="B384" s="8"/>
      <c r="C384" s="5"/>
      <c r="D384" s="5"/>
      <c r="E384" s="5"/>
      <c r="F384" s="21" t="str">
        <f aca="false">IF($B384="","",$B384-$B383)</f>
        <v/>
      </c>
      <c r="G384" s="11" t="str">
        <f aca="false">IF($B384="","",IF($C384&lt;&gt;"",$C384,N($D384)+N($E384)))</f>
        <v/>
      </c>
      <c r="H384" s="11" t="str">
        <f aca="false">IF($B384="","",IF($E384&lt;&gt;"",$E384,$L383*Calculator!$B$5*$F384/Calculator!$B$7))</f>
        <v/>
      </c>
      <c r="I384" s="11" t="str">
        <f aca="false">IF($B384="","",$L383*Calculator!$B$6*$F384/Calculator!$B$7)</f>
        <v/>
      </c>
      <c r="J384" s="11" t="str">
        <f aca="false">IF($B384="","",MAX(0,$H384-$I384))</f>
        <v/>
      </c>
      <c r="K384" s="11" t="str">
        <f aca="false">IF($B384="","",IF($D384&lt;&gt;"",$D384,$G384-$H384))</f>
        <v/>
      </c>
      <c r="L384" s="11" t="str">
        <f aca="false">IF($B384="","",$L383-$K384)</f>
        <v/>
      </c>
      <c r="M384" s="5"/>
    </row>
    <row r="385" customFormat="false" ht="15" hidden="false" customHeight="false" outlineLevel="0" collapsed="false">
      <c r="A385" s="20" t="n">
        <v>379</v>
      </c>
      <c r="B385" s="8"/>
      <c r="C385" s="5"/>
      <c r="D385" s="5"/>
      <c r="E385" s="5"/>
      <c r="F385" s="21" t="str">
        <f aca="false">IF($B385="","",$B385-$B384)</f>
        <v/>
      </c>
      <c r="G385" s="11" t="str">
        <f aca="false">IF($B385="","",IF($C385&lt;&gt;"",$C385,N($D385)+N($E385)))</f>
        <v/>
      </c>
      <c r="H385" s="11" t="str">
        <f aca="false">IF($B385="","",IF($E385&lt;&gt;"",$E385,$L384*Calculator!$B$5*$F385/Calculator!$B$7))</f>
        <v/>
      </c>
      <c r="I385" s="11" t="str">
        <f aca="false">IF($B385="","",$L384*Calculator!$B$6*$F385/Calculator!$B$7)</f>
        <v/>
      </c>
      <c r="J385" s="11" t="str">
        <f aca="false">IF($B385="","",MAX(0,$H385-$I385))</f>
        <v/>
      </c>
      <c r="K385" s="11" t="str">
        <f aca="false">IF($B385="","",IF($D385&lt;&gt;"",$D385,$G385-$H385))</f>
        <v/>
      </c>
      <c r="L385" s="11" t="str">
        <f aca="false">IF($B385="","",$L384-$K385)</f>
        <v/>
      </c>
      <c r="M385" s="5"/>
    </row>
    <row r="386" customFormat="false" ht="15" hidden="false" customHeight="false" outlineLevel="0" collapsed="false">
      <c r="A386" s="20" t="n">
        <v>380</v>
      </c>
      <c r="B386" s="8"/>
      <c r="C386" s="5"/>
      <c r="D386" s="5"/>
      <c r="E386" s="5"/>
      <c r="F386" s="21" t="str">
        <f aca="false">IF($B386="","",$B386-$B385)</f>
        <v/>
      </c>
      <c r="G386" s="11" t="str">
        <f aca="false">IF($B386="","",IF($C386&lt;&gt;"",$C386,N($D386)+N($E386)))</f>
        <v/>
      </c>
      <c r="H386" s="11" t="str">
        <f aca="false">IF($B386="","",IF($E386&lt;&gt;"",$E386,$L385*Calculator!$B$5*$F386/Calculator!$B$7))</f>
        <v/>
      </c>
      <c r="I386" s="11" t="str">
        <f aca="false">IF($B386="","",$L385*Calculator!$B$6*$F386/Calculator!$B$7)</f>
        <v/>
      </c>
      <c r="J386" s="11" t="str">
        <f aca="false">IF($B386="","",MAX(0,$H386-$I386))</f>
        <v/>
      </c>
      <c r="K386" s="11" t="str">
        <f aca="false">IF($B386="","",IF($D386&lt;&gt;"",$D386,$G386-$H386))</f>
        <v/>
      </c>
      <c r="L386" s="11" t="str">
        <f aca="false">IF($B386="","",$L385-$K386)</f>
        <v/>
      </c>
      <c r="M386" s="5"/>
    </row>
    <row r="387" customFormat="false" ht="15" hidden="false" customHeight="false" outlineLevel="0" collapsed="false">
      <c r="A387" s="20" t="n">
        <v>381</v>
      </c>
      <c r="B387" s="8"/>
      <c r="C387" s="5"/>
      <c r="D387" s="5"/>
      <c r="E387" s="5"/>
      <c r="F387" s="21" t="str">
        <f aca="false">IF($B387="","",$B387-$B386)</f>
        <v/>
      </c>
      <c r="G387" s="11" t="str">
        <f aca="false">IF($B387="","",IF($C387&lt;&gt;"",$C387,N($D387)+N($E387)))</f>
        <v/>
      </c>
      <c r="H387" s="11" t="str">
        <f aca="false">IF($B387="","",IF($E387&lt;&gt;"",$E387,$L386*Calculator!$B$5*$F387/Calculator!$B$7))</f>
        <v/>
      </c>
      <c r="I387" s="11" t="str">
        <f aca="false">IF($B387="","",$L386*Calculator!$B$6*$F387/Calculator!$B$7)</f>
        <v/>
      </c>
      <c r="J387" s="11" t="str">
        <f aca="false">IF($B387="","",MAX(0,$H387-$I387))</f>
        <v/>
      </c>
      <c r="K387" s="11" t="str">
        <f aca="false">IF($B387="","",IF($D387&lt;&gt;"",$D387,$G387-$H387))</f>
        <v/>
      </c>
      <c r="L387" s="11" t="str">
        <f aca="false">IF($B387="","",$L386-$K387)</f>
        <v/>
      </c>
      <c r="M387" s="5"/>
    </row>
    <row r="388" customFormat="false" ht="15" hidden="false" customHeight="false" outlineLevel="0" collapsed="false">
      <c r="A388" s="20" t="n">
        <v>382</v>
      </c>
      <c r="B388" s="8"/>
      <c r="C388" s="5"/>
      <c r="D388" s="5"/>
      <c r="E388" s="5"/>
      <c r="F388" s="21" t="str">
        <f aca="false">IF($B388="","",$B388-$B387)</f>
        <v/>
      </c>
      <c r="G388" s="11" t="str">
        <f aca="false">IF($B388="","",IF($C388&lt;&gt;"",$C388,N($D388)+N($E388)))</f>
        <v/>
      </c>
      <c r="H388" s="11" t="str">
        <f aca="false">IF($B388="","",IF($E388&lt;&gt;"",$E388,$L387*Calculator!$B$5*$F388/Calculator!$B$7))</f>
        <v/>
      </c>
      <c r="I388" s="11" t="str">
        <f aca="false">IF($B388="","",$L387*Calculator!$B$6*$F388/Calculator!$B$7)</f>
        <v/>
      </c>
      <c r="J388" s="11" t="str">
        <f aca="false">IF($B388="","",MAX(0,$H388-$I388))</f>
        <v/>
      </c>
      <c r="K388" s="11" t="str">
        <f aca="false">IF($B388="","",IF($D388&lt;&gt;"",$D388,$G388-$H388))</f>
        <v/>
      </c>
      <c r="L388" s="11" t="str">
        <f aca="false">IF($B388="","",$L387-$K388)</f>
        <v/>
      </c>
      <c r="M388" s="5"/>
    </row>
    <row r="389" customFormat="false" ht="15" hidden="false" customHeight="false" outlineLevel="0" collapsed="false">
      <c r="A389" s="20" t="n">
        <v>383</v>
      </c>
      <c r="B389" s="8"/>
      <c r="C389" s="5"/>
      <c r="D389" s="5"/>
      <c r="E389" s="5"/>
      <c r="F389" s="21" t="str">
        <f aca="false">IF($B389="","",$B389-$B388)</f>
        <v/>
      </c>
      <c r="G389" s="11" t="str">
        <f aca="false">IF($B389="","",IF($C389&lt;&gt;"",$C389,N($D389)+N($E389)))</f>
        <v/>
      </c>
      <c r="H389" s="11" t="str">
        <f aca="false">IF($B389="","",IF($E389&lt;&gt;"",$E389,$L388*Calculator!$B$5*$F389/Calculator!$B$7))</f>
        <v/>
      </c>
      <c r="I389" s="11" t="str">
        <f aca="false">IF($B389="","",$L388*Calculator!$B$6*$F389/Calculator!$B$7)</f>
        <v/>
      </c>
      <c r="J389" s="11" t="str">
        <f aca="false">IF($B389="","",MAX(0,$H389-$I389))</f>
        <v/>
      </c>
      <c r="K389" s="11" t="str">
        <f aca="false">IF($B389="","",IF($D389&lt;&gt;"",$D389,$G389-$H389))</f>
        <v/>
      </c>
      <c r="L389" s="11" t="str">
        <f aca="false">IF($B389="","",$L388-$K389)</f>
        <v/>
      </c>
      <c r="M389" s="5"/>
    </row>
    <row r="390" customFormat="false" ht="15" hidden="false" customHeight="false" outlineLevel="0" collapsed="false">
      <c r="A390" s="20" t="n">
        <v>384</v>
      </c>
      <c r="B390" s="8"/>
      <c r="C390" s="5"/>
      <c r="D390" s="5"/>
      <c r="E390" s="5"/>
      <c r="F390" s="21" t="str">
        <f aca="false">IF($B390="","",$B390-$B389)</f>
        <v/>
      </c>
      <c r="G390" s="11" t="str">
        <f aca="false">IF($B390="","",IF($C390&lt;&gt;"",$C390,N($D390)+N($E390)))</f>
        <v/>
      </c>
      <c r="H390" s="11" t="str">
        <f aca="false">IF($B390="","",IF($E390&lt;&gt;"",$E390,$L389*Calculator!$B$5*$F390/Calculator!$B$7))</f>
        <v/>
      </c>
      <c r="I390" s="11" t="str">
        <f aca="false">IF($B390="","",$L389*Calculator!$B$6*$F390/Calculator!$B$7)</f>
        <v/>
      </c>
      <c r="J390" s="11" t="str">
        <f aca="false">IF($B390="","",MAX(0,$H390-$I390))</f>
        <v/>
      </c>
      <c r="K390" s="11" t="str">
        <f aca="false">IF($B390="","",IF($D390&lt;&gt;"",$D390,$G390-$H390))</f>
        <v/>
      </c>
      <c r="L390" s="11" t="str">
        <f aca="false">IF($B390="","",$L389-$K390)</f>
        <v/>
      </c>
      <c r="M390" s="5"/>
    </row>
    <row r="391" customFormat="false" ht="15" hidden="false" customHeight="false" outlineLevel="0" collapsed="false">
      <c r="A391" s="20" t="n">
        <v>385</v>
      </c>
      <c r="B391" s="8"/>
      <c r="C391" s="5"/>
      <c r="D391" s="5"/>
      <c r="E391" s="5"/>
      <c r="F391" s="21" t="str">
        <f aca="false">IF($B391="","",$B391-$B390)</f>
        <v/>
      </c>
      <c r="G391" s="11" t="str">
        <f aca="false">IF($B391="","",IF($C391&lt;&gt;"",$C391,N($D391)+N($E391)))</f>
        <v/>
      </c>
      <c r="H391" s="11" t="str">
        <f aca="false">IF($B391="","",IF($E391&lt;&gt;"",$E391,$L390*Calculator!$B$5*$F391/Calculator!$B$7))</f>
        <v/>
      </c>
      <c r="I391" s="11" t="str">
        <f aca="false">IF($B391="","",$L390*Calculator!$B$6*$F391/Calculator!$B$7)</f>
        <v/>
      </c>
      <c r="J391" s="11" t="str">
        <f aca="false">IF($B391="","",MAX(0,$H391-$I391))</f>
        <v/>
      </c>
      <c r="K391" s="11" t="str">
        <f aca="false">IF($B391="","",IF($D391&lt;&gt;"",$D391,$G391-$H391))</f>
        <v/>
      </c>
      <c r="L391" s="11" t="str">
        <f aca="false">IF($B391="","",$L390-$K391)</f>
        <v/>
      </c>
      <c r="M391" s="5"/>
    </row>
    <row r="392" customFormat="false" ht="15" hidden="false" customHeight="false" outlineLevel="0" collapsed="false">
      <c r="A392" s="20" t="n">
        <v>386</v>
      </c>
      <c r="B392" s="8"/>
      <c r="C392" s="5"/>
      <c r="D392" s="5"/>
      <c r="E392" s="5"/>
      <c r="F392" s="21" t="str">
        <f aca="false">IF($B392="","",$B392-$B391)</f>
        <v/>
      </c>
      <c r="G392" s="11" t="str">
        <f aca="false">IF($B392="","",IF($C392&lt;&gt;"",$C392,N($D392)+N($E392)))</f>
        <v/>
      </c>
      <c r="H392" s="11" t="str">
        <f aca="false">IF($B392="","",IF($E392&lt;&gt;"",$E392,$L391*Calculator!$B$5*$F392/Calculator!$B$7))</f>
        <v/>
      </c>
      <c r="I392" s="11" t="str">
        <f aca="false">IF($B392="","",$L391*Calculator!$B$6*$F392/Calculator!$B$7)</f>
        <v/>
      </c>
      <c r="J392" s="11" t="str">
        <f aca="false">IF($B392="","",MAX(0,$H392-$I392))</f>
        <v/>
      </c>
      <c r="K392" s="11" t="str">
        <f aca="false">IF($B392="","",IF($D392&lt;&gt;"",$D392,$G392-$H392))</f>
        <v/>
      </c>
      <c r="L392" s="11" t="str">
        <f aca="false">IF($B392="","",$L391-$K392)</f>
        <v/>
      </c>
      <c r="M392" s="5"/>
    </row>
    <row r="393" customFormat="false" ht="15" hidden="false" customHeight="false" outlineLevel="0" collapsed="false">
      <c r="A393" s="20" t="n">
        <v>387</v>
      </c>
      <c r="B393" s="8"/>
      <c r="C393" s="5"/>
      <c r="D393" s="5"/>
      <c r="E393" s="5"/>
      <c r="F393" s="21" t="str">
        <f aca="false">IF($B393="","",$B393-$B392)</f>
        <v/>
      </c>
      <c r="G393" s="11" t="str">
        <f aca="false">IF($B393="","",IF($C393&lt;&gt;"",$C393,N($D393)+N($E393)))</f>
        <v/>
      </c>
      <c r="H393" s="11" t="str">
        <f aca="false">IF($B393="","",IF($E393&lt;&gt;"",$E393,$L392*Calculator!$B$5*$F393/Calculator!$B$7))</f>
        <v/>
      </c>
      <c r="I393" s="11" t="str">
        <f aca="false">IF($B393="","",$L392*Calculator!$B$6*$F393/Calculator!$B$7)</f>
        <v/>
      </c>
      <c r="J393" s="11" t="str">
        <f aca="false">IF($B393="","",MAX(0,$H393-$I393))</f>
        <v/>
      </c>
      <c r="K393" s="11" t="str">
        <f aca="false">IF($B393="","",IF($D393&lt;&gt;"",$D393,$G393-$H393))</f>
        <v/>
      </c>
      <c r="L393" s="11" t="str">
        <f aca="false">IF($B393="","",$L392-$K393)</f>
        <v/>
      </c>
      <c r="M393" s="5"/>
    </row>
    <row r="394" customFormat="false" ht="15" hidden="false" customHeight="false" outlineLevel="0" collapsed="false">
      <c r="A394" s="20" t="n">
        <v>388</v>
      </c>
      <c r="B394" s="8"/>
      <c r="C394" s="5"/>
      <c r="D394" s="5"/>
      <c r="E394" s="5"/>
      <c r="F394" s="21" t="str">
        <f aca="false">IF($B394="","",$B394-$B393)</f>
        <v/>
      </c>
      <c r="G394" s="11" t="str">
        <f aca="false">IF($B394="","",IF($C394&lt;&gt;"",$C394,N($D394)+N($E394)))</f>
        <v/>
      </c>
      <c r="H394" s="11" t="str">
        <f aca="false">IF($B394="","",IF($E394&lt;&gt;"",$E394,$L393*Calculator!$B$5*$F394/Calculator!$B$7))</f>
        <v/>
      </c>
      <c r="I394" s="11" t="str">
        <f aca="false">IF($B394="","",$L393*Calculator!$B$6*$F394/Calculator!$B$7)</f>
        <v/>
      </c>
      <c r="J394" s="11" t="str">
        <f aca="false">IF($B394="","",MAX(0,$H394-$I394))</f>
        <v/>
      </c>
      <c r="K394" s="11" t="str">
        <f aca="false">IF($B394="","",IF($D394&lt;&gt;"",$D394,$G394-$H394))</f>
        <v/>
      </c>
      <c r="L394" s="11" t="str">
        <f aca="false">IF($B394="","",$L393-$K394)</f>
        <v/>
      </c>
      <c r="M394" s="5"/>
    </row>
    <row r="395" customFormat="false" ht="15" hidden="false" customHeight="false" outlineLevel="0" collapsed="false">
      <c r="A395" s="20" t="n">
        <v>389</v>
      </c>
      <c r="B395" s="8"/>
      <c r="C395" s="5"/>
      <c r="D395" s="5"/>
      <c r="E395" s="5"/>
      <c r="F395" s="21" t="str">
        <f aca="false">IF($B395="","",$B395-$B394)</f>
        <v/>
      </c>
      <c r="G395" s="11" t="str">
        <f aca="false">IF($B395="","",IF($C395&lt;&gt;"",$C395,N($D395)+N($E395)))</f>
        <v/>
      </c>
      <c r="H395" s="11" t="str">
        <f aca="false">IF($B395="","",IF($E395&lt;&gt;"",$E395,$L394*Calculator!$B$5*$F395/Calculator!$B$7))</f>
        <v/>
      </c>
      <c r="I395" s="11" t="str">
        <f aca="false">IF($B395="","",$L394*Calculator!$B$6*$F395/Calculator!$B$7)</f>
        <v/>
      </c>
      <c r="J395" s="11" t="str">
        <f aca="false">IF($B395="","",MAX(0,$H395-$I395))</f>
        <v/>
      </c>
      <c r="K395" s="11" t="str">
        <f aca="false">IF($B395="","",IF($D395&lt;&gt;"",$D395,$G395-$H395))</f>
        <v/>
      </c>
      <c r="L395" s="11" t="str">
        <f aca="false">IF($B395="","",$L394-$K395)</f>
        <v/>
      </c>
      <c r="M395" s="5"/>
    </row>
    <row r="396" customFormat="false" ht="15" hidden="false" customHeight="false" outlineLevel="0" collapsed="false">
      <c r="A396" s="20" t="n">
        <v>390</v>
      </c>
      <c r="B396" s="8"/>
      <c r="C396" s="5"/>
      <c r="D396" s="5"/>
      <c r="E396" s="5"/>
      <c r="F396" s="21" t="str">
        <f aca="false">IF($B396="","",$B396-$B395)</f>
        <v/>
      </c>
      <c r="G396" s="11" t="str">
        <f aca="false">IF($B396="","",IF($C396&lt;&gt;"",$C396,N($D396)+N($E396)))</f>
        <v/>
      </c>
      <c r="H396" s="11" t="str">
        <f aca="false">IF($B396="","",IF($E396&lt;&gt;"",$E396,$L395*Calculator!$B$5*$F396/Calculator!$B$7))</f>
        <v/>
      </c>
      <c r="I396" s="11" t="str">
        <f aca="false">IF($B396="","",$L395*Calculator!$B$6*$F396/Calculator!$B$7)</f>
        <v/>
      </c>
      <c r="J396" s="11" t="str">
        <f aca="false">IF($B396="","",MAX(0,$H396-$I396))</f>
        <v/>
      </c>
      <c r="K396" s="11" t="str">
        <f aca="false">IF($B396="","",IF($D396&lt;&gt;"",$D396,$G396-$H396))</f>
        <v/>
      </c>
      <c r="L396" s="11" t="str">
        <f aca="false">IF($B396="","",$L395-$K396)</f>
        <v/>
      </c>
      <c r="M396" s="5"/>
    </row>
    <row r="397" customFormat="false" ht="15" hidden="false" customHeight="false" outlineLevel="0" collapsed="false">
      <c r="A397" s="20" t="n">
        <v>391</v>
      </c>
      <c r="B397" s="8"/>
      <c r="C397" s="5"/>
      <c r="D397" s="5"/>
      <c r="E397" s="5"/>
      <c r="F397" s="21" t="str">
        <f aca="false">IF($B397="","",$B397-$B396)</f>
        <v/>
      </c>
      <c r="G397" s="11" t="str">
        <f aca="false">IF($B397="","",IF($C397&lt;&gt;"",$C397,N($D397)+N($E397)))</f>
        <v/>
      </c>
      <c r="H397" s="11" t="str">
        <f aca="false">IF($B397="","",IF($E397&lt;&gt;"",$E397,$L396*Calculator!$B$5*$F397/Calculator!$B$7))</f>
        <v/>
      </c>
      <c r="I397" s="11" t="str">
        <f aca="false">IF($B397="","",$L396*Calculator!$B$6*$F397/Calculator!$B$7)</f>
        <v/>
      </c>
      <c r="J397" s="11" t="str">
        <f aca="false">IF($B397="","",MAX(0,$H397-$I397))</f>
        <v/>
      </c>
      <c r="K397" s="11" t="str">
        <f aca="false">IF($B397="","",IF($D397&lt;&gt;"",$D397,$G397-$H397))</f>
        <v/>
      </c>
      <c r="L397" s="11" t="str">
        <f aca="false">IF($B397="","",$L396-$K397)</f>
        <v/>
      </c>
      <c r="M397" s="5"/>
    </row>
    <row r="398" customFormat="false" ht="15" hidden="false" customHeight="false" outlineLevel="0" collapsed="false">
      <c r="A398" s="20" t="n">
        <v>392</v>
      </c>
      <c r="B398" s="8"/>
      <c r="C398" s="5"/>
      <c r="D398" s="5"/>
      <c r="E398" s="5"/>
      <c r="F398" s="21" t="str">
        <f aca="false">IF($B398="","",$B398-$B397)</f>
        <v/>
      </c>
      <c r="G398" s="11" t="str">
        <f aca="false">IF($B398="","",IF($C398&lt;&gt;"",$C398,N($D398)+N($E398)))</f>
        <v/>
      </c>
      <c r="H398" s="11" t="str">
        <f aca="false">IF($B398="","",IF($E398&lt;&gt;"",$E398,$L397*Calculator!$B$5*$F398/Calculator!$B$7))</f>
        <v/>
      </c>
      <c r="I398" s="11" t="str">
        <f aca="false">IF($B398="","",$L397*Calculator!$B$6*$F398/Calculator!$B$7)</f>
        <v/>
      </c>
      <c r="J398" s="11" t="str">
        <f aca="false">IF($B398="","",MAX(0,$H398-$I398))</f>
        <v/>
      </c>
      <c r="K398" s="11" t="str">
        <f aca="false">IF($B398="","",IF($D398&lt;&gt;"",$D398,$G398-$H398))</f>
        <v/>
      </c>
      <c r="L398" s="11" t="str">
        <f aca="false">IF($B398="","",$L397-$K398)</f>
        <v/>
      </c>
      <c r="M398" s="5"/>
    </row>
    <row r="399" customFormat="false" ht="15" hidden="false" customHeight="false" outlineLevel="0" collapsed="false">
      <c r="A399" s="20" t="n">
        <v>393</v>
      </c>
      <c r="B399" s="8"/>
      <c r="C399" s="5"/>
      <c r="D399" s="5"/>
      <c r="E399" s="5"/>
      <c r="F399" s="21" t="str">
        <f aca="false">IF($B399="","",$B399-$B398)</f>
        <v/>
      </c>
      <c r="G399" s="11" t="str">
        <f aca="false">IF($B399="","",IF($C399&lt;&gt;"",$C399,N($D399)+N($E399)))</f>
        <v/>
      </c>
      <c r="H399" s="11" t="str">
        <f aca="false">IF($B399="","",IF($E399&lt;&gt;"",$E399,$L398*Calculator!$B$5*$F399/Calculator!$B$7))</f>
        <v/>
      </c>
      <c r="I399" s="11" t="str">
        <f aca="false">IF($B399="","",$L398*Calculator!$B$6*$F399/Calculator!$B$7)</f>
        <v/>
      </c>
      <c r="J399" s="11" t="str">
        <f aca="false">IF($B399="","",MAX(0,$H399-$I399))</f>
        <v/>
      </c>
      <c r="K399" s="11" t="str">
        <f aca="false">IF($B399="","",IF($D399&lt;&gt;"",$D399,$G399-$H399))</f>
        <v/>
      </c>
      <c r="L399" s="11" t="str">
        <f aca="false">IF($B399="","",$L398-$K399)</f>
        <v/>
      </c>
      <c r="M399" s="5"/>
    </row>
    <row r="400" customFormat="false" ht="15" hidden="false" customHeight="false" outlineLevel="0" collapsed="false">
      <c r="A400" s="20" t="n">
        <v>394</v>
      </c>
      <c r="B400" s="8"/>
      <c r="C400" s="5"/>
      <c r="D400" s="5"/>
      <c r="E400" s="5"/>
      <c r="F400" s="21" t="str">
        <f aca="false">IF($B400="","",$B400-$B399)</f>
        <v/>
      </c>
      <c r="G400" s="11" t="str">
        <f aca="false">IF($B400="","",IF($C400&lt;&gt;"",$C400,N($D400)+N($E400)))</f>
        <v/>
      </c>
      <c r="H400" s="11" t="str">
        <f aca="false">IF($B400="","",IF($E400&lt;&gt;"",$E400,$L399*Calculator!$B$5*$F400/Calculator!$B$7))</f>
        <v/>
      </c>
      <c r="I400" s="11" t="str">
        <f aca="false">IF($B400="","",$L399*Calculator!$B$6*$F400/Calculator!$B$7)</f>
        <v/>
      </c>
      <c r="J400" s="11" t="str">
        <f aca="false">IF($B400="","",MAX(0,$H400-$I400))</f>
        <v/>
      </c>
      <c r="K400" s="11" t="str">
        <f aca="false">IF($B400="","",IF($D400&lt;&gt;"",$D400,$G400-$H400))</f>
        <v/>
      </c>
      <c r="L400" s="11" t="str">
        <f aca="false">IF($B400="","",$L399-$K400)</f>
        <v/>
      </c>
      <c r="M400" s="5"/>
    </row>
    <row r="401" customFormat="false" ht="15" hidden="false" customHeight="false" outlineLevel="0" collapsed="false">
      <c r="A401" s="20" t="n">
        <v>395</v>
      </c>
      <c r="B401" s="8"/>
      <c r="C401" s="5"/>
      <c r="D401" s="5"/>
      <c r="E401" s="5"/>
      <c r="F401" s="21" t="str">
        <f aca="false">IF($B401="","",$B401-$B400)</f>
        <v/>
      </c>
      <c r="G401" s="11" t="str">
        <f aca="false">IF($B401="","",IF($C401&lt;&gt;"",$C401,N($D401)+N($E401)))</f>
        <v/>
      </c>
      <c r="H401" s="11" t="str">
        <f aca="false">IF($B401="","",IF($E401&lt;&gt;"",$E401,$L400*Calculator!$B$5*$F401/Calculator!$B$7))</f>
        <v/>
      </c>
      <c r="I401" s="11" t="str">
        <f aca="false">IF($B401="","",$L400*Calculator!$B$6*$F401/Calculator!$B$7)</f>
        <v/>
      </c>
      <c r="J401" s="11" t="str">
        <f aca="false">IF($B401="","",MAX(0,$H401-$I401))</f>
        <v/>
      </c>
      <c r="K401" s="11" t="str">
        <f aca="false">IF($B401="","",IF($D401&lt;&gt;"",$D401,$G401-$H401))</f>
        <v/>
      </c>
      <c r="L401" s="11" t="str">
        <f aca="false">IF($B401="","",$L400-$K401)</f>
        <v/>
      </c>
      <c r="M401" s="5"/>
    </row>
    <row r="402" customFormat="false" ht="15" hidden="false" customHeight="false" outlineLevel="0" collapsed="false">
      <c r="A402" s="20" t="n">
        <v>396</v>
      </c>
      <c r="B402" s="8"/>
      <c r="C402" s="5"/>
      <c r="D402" s="5"/>
      <c r="E402" s="5"/>
      <c r="F402" s="21" t="str">
        <f aca="false">IF($B402="","",$B402-$B401)</f>
        <v/>
      </c>
      <c r="G402" s="11" t="str">
        <f aca="false">IF($B402="","",IF($C402&lt;&gt;"",$C402,N($D402)+N($E402)))</f>
        <v/>
      </c>
      <c r="H402" s="11" t="str">
        <f aca="false">IF($B402="","",IF($E402&lt;&gt;"",$E402,$L401*Calculator!$B$5*$F402/Calculator!$B$7))</f>
        <v/>
      </c>
      <c r="I402" s="11" t="str">
        <f aca="false">IF($B402="","",$L401*Calculator!$B$6*$F402/Calculator!$B$7)</f>
        <v/>
      </c>
      <c r="J402" s="11" t="str">
        <f aca="false">IF($B402="","",MAX(0,$H402-$I402))</f>
        <v/>
      </c>
      <c r="K402" s="11" t="str">
        <f aca="false">IF($B402="","",IF($D402&lt;&gt;"",$D402,$G402-$H402))</f>
        <v/>
      </c>
      <c r="L402" s="11" t="str">
        <f aca="false">IF($B402="","",$L401-$K402)</f>
        <v/>
      </c>
      <c r="M402" s="5"/>
    </row>
    <row r="403" customFormat="false" ht="15" hidden="false" customHeight="false" outlineLevel="0" collapsed="false">
      <c r="A403" s="20" t="n">
        <v>397</v>
      </c>
      <c r="B403" s="8"/>
      <c r="C403" s="5"/>
      <c r="D403" s="5"/>
      <c r="E403" s="5"/>
      <c r="F403" s="21" t="str">
        <f aca="false">IF($B403="","",$B403-$B402)</f>
        <v/>
      </c>
      <c r="G403" s="11" t="str">
        <f aca="false">IF($B403="","",IF($C403&lt;&gt;"",$C403,N($D403)+N($E403)))</f>
        <v/>
      </c>
      <c r="H403" s="11" t="str">
        <f aca="false">IF($B403="","",IF($E403&lt;&gt;"",$E403,$L402*Calculator!$B$5*$F403/Calculator!$B$7))</f>
        <v/>
      </c>
      <c r="I403" s="11" t="str">
        <f aca="false">IF($B403="","",$L402*Calculator!$B$6*$F403/Calculator!$B$7)</f>
        <v/>
      </c>
      <c r="J403" s="11" t="str">
        <f aca="false">IF($B403="","",MAX(0,$H403-$I403))</f>
        <v/>
      </c>
      <c r="K403" s="11" t="str">
        <f aca="false">IF($B403="","",IF($D403&lt;&gt;"",$D403,$G403-$H403))</f>
        <v/>
      </c>
      <c r="L403" s="11" t="str">
        <f aca="false">IF($B403="","",$L402-$K403)</f>
        <v/>
      </c>
      <c r="M403" s="5"/>
    </row>
    <row r="404" customFormat="false" ht="15" hidden="false" customHeight="false" outlineLevel="0" collapsed="false">
      <c r="A404" s="20" t="n">
        <v>398</v>
      </c>
      <c r="B404" s="8"/>
      <c r="C404" s="5"/>
      <c r="D404" s="5"/>
      <c r="E404" s="5"/>
      <c r="F404" s="21" t="str">
        <f aca="false">IF($B404="","",$B404-$B403)</f>
        <v/>
      </c>
      <c r="G404" s="11" t="str">
        <f aca="false">IF($B404="","",IF($C404&lt;&gt;"",$C404,N($D404)+N($E404)))</f>
        <v/>
      </c>
      <c r="H404" s="11" t="str">
        <f aca="false">IF($B404="","",IF($E404&lt;&gt;"",$E404,$L403*Calculator!$B$5*$F404/Calculator!$B$7))</f>
        <v/>
      </c>
      <c r="I404" s="11" t="str">
        <f aca="false">IF($B404="","",$L403*Calculator!$B$6*$F404/Calculator!$B$7)</f>
        <v/>
      </c>
      <c r="J404" s="11" t="str">
        <f aca="false">IF($B404="","",MAX(0,$H404-$I404))</f>
        <v/>
      </c>
      <c r="K404" s="11" t="str">
        <f aca="false">IF($B404="","",IF($D404&lt;&gt;"",$D404,$G404-$H404))</f>
        <v/>
      </c>
      <c r="L404" s="11" t="str">
        <f aca="false">IF($B404="","",$L403-$K404)</f>
        <v/>
      </c>
      <c r="M404" s="5"/>
    </row>
    <row r="405" customFormat="false" ht="15" hidden="false" customHeight="false" outlineLevel="0" collapsed="false">
      <c r="A405" s="20" t="n">
        <v>399</v>
      </c>
      <c r="B405" s="8"/>
      <c r="C405" s="5"/>
      <c r="D405" s="5"/>
      <c r="E405" s="5"/>
      <c r="F405" s="21" t="str">
        <f aca="false">IF($B405="","",$B405-$B404)</f>
        <v/>
      </c>
      <c r="G405" s="11" t="str">
        <f aca="false">IF($B405="","",IF($C405&lt;&gt;"",$C405,N($D405)+N($E405)))</f>
        <v/>
      </c>
      <c r="H405" s="11" t="str">
        <f aca="false">IF($B405="","",IF($E405&lt;&gt;"",$E405,$L404*Calculator!$B$5*$F405/Calculator!$B$7))</f>
        <v/>
      </c>
      <c r="I405" s="11" t="str">
        <f aca="false">IF($B405="","",$L404*Calculator!$B$6*$F405/Calculator!$B$7)</f>
        <v/>
      </c>
      <c r="J405" s="11" t="str">
        <f aca="false">IF($B405="","",MAX(0,$H405-$I405))</f>
        <v/>
      </c>
      <c r="K405" s="11" t="str">
        <f aca="false">IF($B405="","",IF($D405&lt;&gt;"",$D405,$G405-$H405))</f>
        <v/>
      </c>
      <c r="L405" s="11" t="str">
        <f aca="false">IF($B405="","",$L404-$K405)</f>
        <v/>
      </c>
      <c r="M405" s="5"/>
    </row>
    <row r="406" customFormat="false" ht="15" hidden="false" customHeight="false" outlineLevel="0" collapsed="false">
      <c r="A406" s="20" t="n">
        <v>400</v>
      </c>
      <c r="B406" s="8"/>
      <c r="C406" s="5"/>
      <c r="D406" s="5"/>
      <c r="E406" s="5"/>
      <c r="F406" s="21" t="str">
        <f aca="false">IF($B406="","",$B406-$B405)</f>
        <v/>
      </c>
      <c r="G406" s="11" t="str">
        <f aca="false">IF($B406="","",IF($C406&lt;&gt;"",$C406,N($D406)+N($E406)))</f>
        <v/>
      </c>
      <c r="H406" s="11" t="str">
        <f aca="false">IF($B406="","",IF($E406&lt;&gt;"",$E406,$L405*Calculator!$B$5*$F406/Calculator!$B$7))</f>
        <v/>
      </c>
      <c r="I406" s="11" t="str">
        <f aca="false">IF($B406="","",$L405*Calculator!$B$6*$F406/Calculator!$B$7)</f>
        <v/>
      </c>
      <c r="J406" s="11" t="str">
        <f aca="false">IF($B406="","",MAX(0,$H406-$I406))</f>
        <v/>
      </c>
      <c r="K406" s="11" t="str">
        <f aca="false">IF($B406="","",IF($D406&lt;&gt;"",$D406,$G406-$H406))</f>
        <v/>
      </c>
      <c r="L406" s="11" t="str">
        <f aca="false">IF($B406="","",$L405-$K406)</f>
        <v/>
      </c>
      <c r="M40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2026-10-07T14:38:04Z</dcterms:created>
  <dc:creator>openpyxl</dc:creator>
  <dc:description/>
  <dc:language>en-US</dc:language>
  <cp:lastModifiedBy/>
  <dcterms:modified xsi:type="dcterms:W3CDTF">2026-10-07T14:38:04Z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